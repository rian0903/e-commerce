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udin\"/>
    </mc:Choice>
  </mc:AlternateContent>
  <xr:revisionPtr revIDLastSave="0" documentId="13_ncr:1_{7151CB99-5980-4A6E-82FD-18C29417F1A5}" xr6:coauthVersionLast="47" xr6:coauthVersionMax="47" xr10:uidLastSave="{00000000-0000-0000-0000-000000000000}"/>
  <bookViews>
    <workbookView xWindow="-120" yWindow="-120" windowWidth="29040" windowHeight="15720" xr2:uid="{85766BCE-CAE1-417E-BA3D-0E0F4A41DC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6" i="1" l="1"/>
  <c r="Z55" i="1"/>
  <c r="S34" i="1"/>
  <c r="G34" i="1"/>
  <c r="Y66" i="1"/>
  <c r="V56" i="1"/>
  <c r="V55" i="1"/>
  <c r="V74" i="1"/>
  <c r="U74" i="1"/>
  <c r="V73" i="1"/>
  <c r="U73" i="1"/>
  <c r="V72" i="1"/>
  <c r="U72" i="1"/>
  <c r="V71" i="1"/>
  <c r="U71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U56" i="1"/>
  <c r="U5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AC65" i="1"/>
  <c r="AB65" i="1"/>
  <c r="AC64" i="1"/>
  <c r="AB64" i="1"/>
  <c r="AA64" i="1"/>
  <c r="AA68" i="1" l="1"/>
  <c r="Z54" i="1" l="1"/>
  <c r="AA54" i="1" s="1"/>
  <c r="E18" i="2"/>
  <c r="E19" i="2"/>
  <c r="E20" i="2"/>
  <c r="E17" i="2"/>
  <c r="C17" i="2"/>
  <c r="H48" i="1"/>
  <c r="C10" i="2"/>
  <c r="Z14" i="1"/>
  <c r="AA14" i="1"/>
  <c r="AB14" i="1"/>
  <c r="AC14" i="1"/>
  <c r="AD14" i="1"/>
  <c r="Z15" i="1"/>
  <c r="AA15" i="1"/>
  <c r="AB15" i="1"/>
  <c r="AC15" i="1"/>
  <c r="AD15" i="1"/>
  <c r="Z16" i="1"/>
  <c r="AA16" i="1"/>
  <c r="AB16" i="1"/>
  <c r="AC16" i="1"/>
  <c r="AD16" i="1"/>
  <c r="AA13" i="1"/>
  <c r="AB13" i="1"/>
  <c r="AC13" i="1"/>
  <c r="J41" i="1" s="1"/>
  <c r="AD13" i="1"/>
  <c r="K37" i="1" s="1"/>
  <c r="Z13" i="1"/>
  <c r="S13" i="1"/>
  <c r="G47" i="1" s="1"/>
  <c r="T5" i="2"/>
  <c r="T14" i="1"/>
  <c r="T13" i="1"/>
  <c r="H34" i="1" s="1"/>
  <c r="S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U13" i="1"/>
  <c r="V13" i="1"/>
  <c r="W13" i="1"/>
  <c r="T4" i="2"/>
  <c r="C12" i="2" s="1"/>
  <c r="C19" i="2" s="1"/>
  <c r="U5" i="2"/>
  <c r="V5" i="2"/>
  <c r="W5" i="2"/>
  <c r="X5" i="2"/>
  <c r="G10" i="2" s="1"/>
  <c r="Y5" i="2"/>
  <c r="H11" i="2" s="1"/>
  <c r="Z5" i="2"/>
  <c r="AB5" i="2"/>
  <c r="K11" i="2" s="1"/>
  <c r="AC5" i="2"/>
  <c r="AD5" i="2"/>
  <c r="AG5" i="2"/>
  <c r="Y4" i="2"/>
  <c r="Z4" i="2"/>
  <c r="AB4" i="2"/>
  <c r="AC4" i="2"/>
  <c r="AD4" i="2"/>
  <c r="M12" i="2" s="1"/>
  <c r="AG4" i="2"/>
  <c r="P10" i="2" s="1"/>
  <c r="D11" i="2"/>
  <c r="E11" i="2"/>
  <c r="F11" i="2"/>
  <c r="G11" i="2"/>
  <c r="I11" i="2"/>
  <c r="L11" i="2"/>
  <c r="D12" i="2"/>
  <c r="E12" i="2"/>
  <c r="F12" i="2"/>
  <c r="G12" i="2"/>
  <c r="H12" i="2"/>
  <c r="I12" i="2"/>
  <c r="K12" i="2"/>
  <c r="L12" i="2"/>
  <c r="D13" i="2"/>
  <c r="E13" i="2"/>
  <c r="F13" i="2"/>
  <c r="G13" i="2"/>
  <c r="I13" i="2"/>
  <c r="K13" i="2"/>
  <c r="L13" i="2"/>
  <c r="P13" i="2"/>
  <c r="D10" i="2"/>
  <c r="E10" i="2"/>
  <c r="F10" i="2"/>
  <c r="I10" i="2"/>
  <c r="L10" i="2"/>
  <c r="U4" i="2"/>
  <c r="V4" i="2"/>
  <c r="W4" i="2"/>
  <c r="X4" i="2"/>
  <c r="AA56" i="1" l="1"/>
  <c r="AA55" i="1"/>
  <c r="AA69" i="1" s="1"/>
  <c r="H46" i="1"/>
  <c r="G40" i="1"/>
  <c r="J48" i="1"/>
  <c r="I48" i="1"/>
  <c r="K49" i="1"/>
  <c r="H36" i="1"/>
  <c r="H43" i="1"/>
  <c r="J37" i="1"/>
  <c r="G36" i="1"/>
  <c r="K40" i="1"/>
  <c r="G43" i="1"/>
  <c r="I41" i="1"/>
  <c r="J49" i="1"/>
  <c r="G48" i="1"/>
  <c r="I37" i="1"/>
  <c r="K35" i="1"/>
  <c r="J40" i="1"/>
  <c r="K42" i="1"/>
  <c r="H41" i="1"/>
  <c r="I49" i="1"/>
  <c r="K47" i="1"/>
  <c r="H37" i="1"/>
  <c r="J35" i="1"/>
  <c r="I40" i="1"/>
  <c r="J42" i="1"/>
  <c r="G41" i="1"/>
  <c r="H49" i="1"/>
  <c r="J47" i="1"/>
  <c r="G37" i="1"/>
  <c r="I35" i="1"/>
  <c r="H40" i="1"/>
  <c r="I42" i="1"/>
  <c r="G46" i="1"/>
  <c r="G49" i="1"/>
  <c r="I47" i="1"/>
  <c r="K34" i="1"/>
  <c r="K36" i="1"/>
  <c r="H35" i="1"/>
  <c r="K43" i="1"/>
  <c r="H42" i="1"/>
  <c r="K46" i="1"/>
  <c r="K48" i="1"/>
  <c r="H47" i="1"/>
  <c r="J34" i="1"/>
  <c r="J36" i="1"/>
  <c r="G35" i="1"/>
  <c r="J43" i="1"/>
  <c r="G42" i="1"/>
  <c r="J46" i="1"/>
  <c r="I34" i="1"/>
  <c r="I36" i="1"/>
  <c r="I43" i="1"/>
  <c r="K41" i="1"/>
  <c r="I46" i="1"/>
  <c r="AA4" i="2"/>
  <c r="C13" i="2"/>
  <c r="C20" i="2" s="1"/>
  <c r="C11" i="2"/>
  <c r="C18" i="2" s="1"/>
  <c r="AA5" i="2"/>
  <c r="J10" i="2" s="1"/>
  <c r="C23" i="2" s="1"/>
  <c r="K10" i="2"/>
  <c r="AF4" i="2"/>
  <c r="P11" i="2"/>
  <c r="AE4" i="2"/>
  <c r="N11" i="2" s="1"/>
  <c r="AF5" i="2"/>
  <c r="P12" i="2"/>
  <c r="H10" i="2"/>
  <c r="AE5" i="2"/>
  <c r="H13" i="2"/>
  <c r="M11" i="2"/>
  <c r="M13" i="2"/>
  <c r="N13" i="2"/>
  <c r="N10" i="2"/>
  <c r="M10" i="2"/>
  <c r="S37" i="1" l="1"/>
  <c r="S42" i="1"/>
  <c r="S48" i="1"/>
  <c r="S40" i="1"/>
  <c r="S46" i="1"/>
  <c r="S49" i="1"/>
  <c r="S43" i="1"/>
  <c r="S35" i="1"/>
  <c r="S36" i="1"/>
  <c r="S47" i="1"/>
  <c r="S41" i="1"/>
  <c r="AH4" i="2"/>
  <c r="AH5" i="2"/>
  <c r="J11" i="2"/>
  <c r="C24" i="2" s="1"/>
  <c r="J12" i="2"/>
  <c r="C25" i="2" s="1"/>
  <c r="J13" i="2"/>
  <c r="C26" i="2" s="1"/>
  <c r="Q11" i="2"/>
  <c r="Q12" i="2"/>
  <c r="O11" i="2"/>
  <c r="O10" i="2"/>
  <c r="O12" i="2"/>
  <c r="O13" i="2"/>
  <c r="N12" i="2"/>
  <c r="U37" i="1" l="1"/>
  <c r="AA65" i="1" s="1"/>
  <c r="U42" i="1"/>
  <c r="U47" i="1"/>
  <c r="U36" i="1"/>
  <c r="U48" i="1"/>
  <c r="U41" i="1"/>
  <c r="U43" i="1"/>
  <c r="U49" i="1"/>
  <c r="U46" i="1"/>
  <c r="U35" i="1"/>
  <c r="U40" i="1"/>
  <c r="U34" i="1"/>
  <c r="Q13" i="2"/>
  <c r="Q10" i="2"/>
  <c r="C32" i="2"/>
  <c r="C29" i="2"/>
  <c r="C30" i="2"/>
  <c r="C31" i="2"/>
</calcChain>
</file>

<file path=xl/sharedStrings.xml><?xml version="1.0" encoding="utf-8"?>
<sst xmlns="http://schemas.openxmlformats.org/spreadsheetml/2006/main" count="252" uniqueCount="84">
  <si>
    <t>Kriteria (Ci​)</t>
  </si>
  <si>
    <t>Rank (i)</t>
  </si>
  <si>
    <t>Bobot ROC (Wi​)</t>
  </si>
  <si>
    <t>Keamanan Transaksi ($C_1$)</t>
  </si>
  <si>
    <t>Kelengkapan Produk ($C_2$)</t>
  </si>
  <si>
    <t>Kemudahan Penggunaan ($C_3$)</t>
  </si>
  <si>
    <t>Biaya Pengiriman &amp; Promo ($C_4$)</t>
  </si>
  <si>
    <t>Kecepatan Layanan Pelanggan ($C_5$)</t>
  </si>
  <si>
    <t>Alternatif</t>
  </si>
  <si>
    <t>DM 1 (C1)</t>
  </si>
  <si>
    <t>DM 1 (C2)</t>
  </si>
  <si>
    <t>DM 1 (C3)</t>
  </si>
  <si>
    <t>DM 1 (C4)</t>
  </si>
  <si>
    <t>DM 1 (C5)</t>
  </si>
  <si>
    <t>DM 2 (C1)</t>
  </si>
  <si>
    <t>DM 2 (C2)</t>
  </si>
  <si>
    <t>DM 2 (C3)</t>
  </si>
  <si>
    <t>DM 2 (C4)</t>
  </si>
  <si>
    <t>DM 2 (C5)</t>
  </si>
  <si>
    <t>DM 3 (C1)</t>
  </si>
  <si>
    <t>DM 3 (C2)</t>
  </si>
  <si>
    <t>DM 3 (C3)</t>
  </si>
  <si>
    <t>DM 3 (C4)</t>
  </si>
  <si>
    <t>DM 3 (C5)</t>
  </si>
  <si>
    <t>Shopee (A1)</t>
  </si>
  <si>
    <t>Tokopedia (A2)</t>
  </si>
  <si>
    <t>Lazada (A3)</t>
  </si>
  <si>
    <t>Blibli (A4)</t>
  </si>
  <si>
    <t>Kriteria dan Bobot ROC</t>
  </si>
  <si>
    <r>
      <t xml:space="preserve">Saya menggunakan skala penilaian </t>
    </r>
    <r>
      <rPr>
        <sz val="11"/>
        <color theme="1"/>
        <rFont val="Arial"/>
        <family val="2"/>
      </rPr>
      <t>1-5</t>
    </r>
    <r>
      <rPr>
        <sz val="11"/>
        <color theme="1"/>
        <rFont val="Calibri"/>
        <family val="2"/>
        <scheme val="minor"/>
      </rPr>
      <t xml:space="preserve"> (1 = Sangat Buruk, 5 = Sangat Baik) dan 4 alternatif </t>
    </r>
    <r>
      <rPr>
        <i/>
        <sz val="11"/>
        <color theme="1"/>
        <rFont val="Arial"/>
        <family val="2"/>
      </rPr>
      <t>e-commerce</t>
    </r>
    <r>
      <rPr>
        <sz val="11"/>
        <color theme="1"/>
        <rFont val="Calibri"/>
        <family val="2"/>
        <scheme val="minor"/>
      </rPr>
      <t xml:space="preserve"> </t>
    </r>
  </si>
  <si>
    <t>Matriks Keputusan Awal</t>
  </si>
  <si>
    <t>DM 1</t>
  </si>
  <si>
    <t>DM 2</t>
  </si>
  <si>
    <t>DM 3</t>
  </si>
  <si>
    <t>Nilai MIN dan MAX (Per Kriteria)</t>
  </si>
  <si>
    <t>MIN</t>
  </si>
  <si>
    <t>C1</t>
  </si>
  <si>
    <t>C2</t>
  </si>
  <si>
    <t>C3</t>
  </si>
  <si>
    <t>C4</t>
  </si>
  <si>
    <t>C5</t>
  </si>
  <si>
    <t>MAX</t>
  </si>
  <si>
    <t>Normalisasi</t>
  </si>
  <si>
    <t>NILAI AKHIR</t>
  </si>
  <si>
    <t>(C1)</t>
  </si>
  <si>
    <t>(C2)</t>
  </si>
  <si>
    <t>(C3)</t>
  </si>
  <si>
    <t>(C4)</t>
  </si>
  <si>
    <t>(C5)</t>
  </si>
  <si>
    <t>Nilai Akhir Terbobot</t>
  </si>
  <si>
    <t>RANK</t>
  </si>
  <si>
    <t>VOOTING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</si>
  <si>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</si>
  <si>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</si>
  <si>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</si>
  <si>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</si>
  <si>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</si>
  <si>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</si>
  <si>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</si>
  <si>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</si>
  <si>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</si>
  <si>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</si>
  <si>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</si>
  <si>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</si>
  <si>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</si>
  <si>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</si>
  <si>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</si>
  <si>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</si>
  <si>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</si>
  <si>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</si>
  <si>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</si>
  <si>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</si>
  <si>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DROPDOWN</t>
  </si>
  <si>
    <t>RANK VOTING</t>
  </si>
  <si>
    <t>PILIH ALTERNATIF:</t>
  </si>
  <si>
    <t>Kategori</t>
  </si>
  <si>
    <t>HASIL ROC (SPK):</t>
  </si>
  <si>
    <t>HASIL VOTING:</t>
  </si>
  <si>
    <t>Total Vote</t>
  </si>
  <si>
    <t>Nilai Akhir</t>
  </si>
  <si>
    <t>Peringkat</t>
  </si>
  <si>
    <t>DM 1, Lazada (A3)</t>
  </si>
  <si>
    <t>DM 2, Shopee (A1)</t>
  </si>
  <si>
    <t>DM 3, Tokopedia (A2)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</si>
</sst>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6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 indent="1" readingOrder="1"/>
    </xf>
    <xf numFmtId="164" fontId="3" fillId="0" borderId="1" xfId="0" applyNumberFormat="1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0" fillId="0" borderId="2" xfId="0" applyBorder="1"/>
    <xf numFmtId="0" fontId="2" fillId="0" borderId="0" xfId="0" applyFont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2" fontId="2" fillId="0" borderId="1" xfId="0" applyNumberFormat="1" applyFont="1" applyBorder="1" applyAlignment="1">
      <alignment horizontal="left" vertical="center" wrapText="1" indent="1" readingOrder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B4CE-B661-4B4A-8E9B-BE5C3A9EA956}">
  <dimension ref="B2:AD74"/>
  <sheetViews>
    <sheetView tabSelected="1" topLeftCell="A28" zoomScale="85" zoomScaleNormal="85" workbookViewId="0">
      <selection activeCell="D4" sqref="D4"/>
    </sheetView>
  </sheetViews>
  <sheetFormatPr defaultRowHeight="15" x14ac:dyDescent="0.25"/>
  <cols>
    <col min="2" max="2" width="22.5703125" bestFit="1" customWidth="1"/>
    <col min="3" max="3" width="10" bestFit="1" customWidth="1"/>
    <col min="4" max="4" width="18.5703125" bestFit="1" customWidth="1"/>
    <col min="6" max="6" width="17.7109375" bestFit="1" customWidth="1"/>
    <col min="11" max="11" width="9.140625" customWidth="1"/>
    <col min="18" max="18" width="17.7109375" bestFit="1" customWidth="1"/>
    <col min="19" max="19" width="16.5703125" bestFit="1" customWidth="1"/>
    <col min="20" max="20" width="17.5703125" bestFit="1" customWidth="1"/>
    <col min="21" max="21" width="20.140625" bestFit="1" customWidth="1"/>
    <col min="25" max="25" width="20.140625" bestFit="1" customWidth="1"/>
    <col min="26" max="26" width="16" bestFit="1" customWidth="1"/>
    <col min="27" max="27" width="14.140625" bestFit="1" customWidth="1"/>
    <col min="28" max="28" width="16.7109375" bestFit="1" customWidth="1"/>
  </cols>
  <sheetData>
    <row r="2" spans="2:30" ht="19.5" thickBot="1" x14ac:dyDescent="0.35">
      <c r="B2" s="3" t="s">
        <v>28</v>
      </c>
    </row>
    <row r="3" spans="2:30" ht="15.75" thickBot="1" x14ac:dyDescent="0.3">
      <c r="B3" s="1" t="s">
        <v>0</v>
      </c>
      <c r="C3" s="1" t="s">
        <v>1</v>
      </c>
      <c r="D3" s="1" t="s">
        <v>2</v>
      </c>
    </row>
    <row r="4" spans="2:30" ht="29.25" thickBot="1" x14ac:dyDescent="0.3">
      <c r="B4" s="2" t="s">
        <v>3</v>
      </c>
      <c r="C4" s="2">
        <v>1</v>
      </c>
      <c r="D4" s="1">
        <v>0.45666699999999999</v>
      </c>
    </row>
    <row r="5" spans="2:30" ht="29.25" thickBot="1" x14ac:dyDescent="0.3">
      <c r="B5" s="2" t="s">
        <v>4</v>
      </c>
      <c r="C5" s="2">
        <v>2</v>
      </c>
      <c r="D5" s="1">
        <v>0.25666699999999998</v>
      </c>
    </row>
    <row r="6" spans="2:30" ht="29.25" thickBot="1" x14ac:dyDescent="0.3">
      <c r="B6" s="2" t="s">
        <v>5</v>
      </c>
      <c r="C6" s="2">
        <v>3</v>
      </c>
      <c r="D6" s="1">
        <v>0.156667</v>
      </c>
    </row>
    <row r="7" spans="2:30" ht="29.25" thickBot="1" x14ac:dyDescent="0.3">
      <c r="B7" s="2" t="s">
        <v>6</v>
      </c>
      <c r="C7" s="2">
        <v>4</v>
      </c>
      <c r="D7" s="1">
        <v>0.09</v>
      </c>
    </row>
    <row r="8" spans="2:30" ht="29.25" thickBot="1" x14ac:dyDescent="0.3">
      <c r="B8" s="2" t="s">
        <v>7</v>
      </c>
      <c r="C8" s="2">
        <v>5</v>
      </c>
      <c r="D8" s="1">
        <v>0.04</v>
      </c>
    </row>
    <row r="9" spans="2:30" ht="18.75" x14ac:dyDescent="0.3">
      <c r="F9" s="3" t="s">
        <v>30</v>
      </c>
    </row>
    <row r="10" spans="2:30" x14ac:dyDescent="0.25">
      <c r="F10" t="s">
        <v>29</v>
      </c>
      <c r="Q10" t="s">
        <v>34</v>
      </c>
    </row>
    <row r="11" spans="2:30" ht="15.75" thickBot="1" x14ac:dyDescent="0.3">
      <c r="F11" s="4" t="s">
        <v>31</v>
      </c>
      <c r="R11" s="4" t="s">
        <v>35</v>
      </c>
      <c r="Y11" s="4" t="s">
        <v>41</v>
      </c>
    </row>
    <row r="12" spans="2:30" ht="30.75" thickBot="1" x14ac:dyDescent="0.3">
      <c r="F12" s="1" t="s">
        <v>8</v>
      </c>
      <c r="G12" s="1" t="s">
        <v>9</v>
      </c>
      <c r="H12" s="1" t="s">
        <v>10</v>
      </c>
      <c r="I12" s="1" t="s">
        <v>11</v>
      </c>
      <c r="J12" s="1" t="s">
        <v>12</v>
      </c>
      <c r="K12" s="1" t="s">
        <v>13</v>
      </c>
      <c r="R12" s="1" t="s">
        <v>8</v>
      </c>
      <c r="S12" s="8" t="s">
        <v>44</v>
      </c>
      <c r="T12" s="8" t="s">
        <v>45</v>
      </c>
      <c r="U12" s="8" t="s">
        <v>46</v>
      </c>
      <c r="V12" s="8" t="s">
        <v>47</v>
      </c>
      <c r="W12" s="8" t="s">
        <v>48</v>
      </c>
      <c r="Y12" s="1" t="s">
        <v>8</v>
      </c>
      <c r="Z12" s="8" t="s">
        <v>44</v>
      </c>
      <c r="AA12" s="8" t="s">
        <v>45</v>
      </c>
      <c r="AB12" s="8" t="s">
        <v>46</v>
      </c>
      <c r="AC12" s="8" t="s">
        <v>47</v>
      </c>
      <c r="AD12" s="8" t="s">
        <v>48</v>
      </c>
    </row>
    <row r="13" spans="2:30" ht="15.75" thickBot="1" x14ac:dyDescent="0.3">
      <c r="F13" s="1" t="s">
        <v>24</v>
      </c>
      <c r="G13" s="2">
        <v>4</v>
      </c>
      <c r="H13" s="2">
        <v>4</v>
      </c>
      <c r="I13" s="2">
        <v>5</v>
      </c>
      <c r="J13" s="2">
        <v>4</v>
      </c>
      <c r="K13" s="2">
        <v>3</v>
      </c>
      <c r="R13" s="7" t="s">
        <v>24</v>
      </c>
      <c r="S13" s="9">
        <f>MIN(G$13:G$16,G$19:G$22,G$25:G$28)</f>
        <v>3</v>
      </c>
      <c r="T13" s="9">
        <f>MIN(H$13:H$16,H$19:H$22,H$25:H$28)</f>
        <v>2</v>
      </c>
      <c r="U13" s="9">
        <f t="shared" ref="U13:W13" si="0">MIN(I$13:I$16,I$19:I$22,I$25:I$28)</f>
        <v>3</v>
      </c>
      <c r="V13" s="9">
        <f t="shared" si="0"/>
        <v>3</v>
      </c>
      <c r="W13" s="9">
        <f t="shared" si="0"/>
        <v>2</v>
      </c>
      <c r="Y13" s="7" t="s">
        <v>24</v>
      </c>
      <c r="Z13" s="9">
        <f>MAX(G$13:G$16,G$19:G$22,G$25:G$28)</f>
        <v>5</v>
      </c>
      <c r="AA13" s="9">
        <f t="shared" ref="AA13:AD13" si="1">MAX(H$13:H$16,H$19:H$22,H$25:H$28)</f>
        <v>13</v>
      </c>
      <c r="AB13" s="9">
        <f t="shared" si="1"/>
        <v>5</v>
      </c>
      <c r="AC13" s="9">
        <f t="shared" si="1"/>
        <v>5</v>
      </c>
      <c r="AD13" s="9">
        <f t="shared" si="1"/>
        <v>5</v>
      </c>
    </row>
    <row r="14" spans="2:30" ht="15.75" thickBot="1" x14ac:dyDescent="0.3">
      <c r="F14" s="1" t="s">
        <v>25</v>
      </c>
      <c r="G14" s="2">
        <v>5</v>
      </c>
      <c r="H14" s="2">
        <v>2</v>
      </c>
      <c r="I14" s="2">
        <v>4</v>
      </c>
      <c r="J14" s="2">
        <v>3</v>
      </c>
      <c r="K14" s="2">
        <v>4</v>
      </c>
      <c r="R14" s="7" t="s">
        <v>25</v>
      </c>
      <c r="S14" s="9">
        <f t="shared" ref="S14:S16" si="2">MIN(G$13:G$16,G$19:G$22,G$25:G$28)</f>
        <v>3</v>
      </c>
      <c r="T14" s="9">
        <f>MIN(H$13:H$16,H$19:H$22,H$25:H$28)</f>
        <v>2</v>
      </c>
      <c r="U14" s="9">
        <f t="shared" ref="U14:U16" si="3">MIN(I$13:I$16,I$19:I$22,I$25:I$28)</f>
        <v>3</v>
      </c>
      <c r="V14" s="9">
        <f t="shared" ref="V14:V16" si="4">MIN(J$13:J$16,J$19:J$22,J$25:J$28)</f>
        <v>3</v>
      </c>
      <c r="W14" s="9">
        <f t="shared" ref="W14:W16" si="5">MIN(K$13:K$16,K$19:K$22,K$25:K$28)</f>
        <v>2</v>
      </c>
      <c r="Y14" s="7" t="s">
        <v>25</v>
      </c>
      <c r="Z14" s="9">
        <f t="shared" ref="Z14:Z16" si="6">MAX(G$13:G$16,G$19:G$22,G$25:G$28)</f>
        <v>5</v>
      </c>
      <c r="AA14" s="9">
        <f t="shared" ref="AA14:AA16" si="7">MAX(H$13:H$16,H$19:H$22,H$25:H$28)</f>
        <v>13</v>
      </c>
      <c r="AB14" s="9">
        <f t="shared" ref="AB14:AB16" si="8">MAX(I$13:I$16,I$19:I$22,I$25:I$28)</f>
        <v>5</v>
      </c>
      <c r="AC14" s="9">
        <f t="shared" ref="AC14:AC16" si="9">MAX(J$13:J$16,J$19:J$22,J$25:J$28)</f>
        <v>5</v>
      </c>
      <c r="AD14" s="9">
        <f t="shared" ref="AD14:AD16" si="10">MAX(K$13:K$16,K$19:K$22,K$25:K$28)</f>
        <v>5</v>
      </c>
    </row>
    <row r="15" spans="2:30" ht="15.75" thickBot="1" x14ac:dyDescent="0.3">
      <c r="F15" s="1" t="s">
        <v>26</v>
      </c>
      <c r="G15" s="2">
        <v>5</v>
      </c>
      <c r="H15" s="2">
        <v>5</v>
      </c>
      <c r="I15" s="2">
        <v>4</v>
      </c>
      <c r="J15" s="2">
        <v>5</v>
      </c>
      <c r="K15" s="2">
        <v>3</v>
      </c>
      <c r="R15" s="7" t="s">
        <v>26</v>
      </c>
      <c r="S15" s="9">
        <f t="shared" si="2"/>
        <v>3</v>
      </c>
      <c r="T15" s="9">
        <f t="shared" ref="T15:T16" si="11">MIN(H$13:H$16,H$19:H$22,H$25:H$28)</f>
        <v>2</v>
      </c>
      <c r="U15" s="9">
        <f t="shared" si="3"/>
        <v>3</v>
      </c>
      <c r="V15" s="9">
        <f t="shared" si="4"/>
        <v>3</v>
      </c>
      <c r="W15" s="9">
        <f t="shared" si="5"/>
        <v>2</v>
      </c>
      <c r="Y15" s="7" t="s">
        <v>26</v>
      </c>
      <c r="Z15" s="9">
        <f t="shared" si="6"/>
        <v>5</v>
      </c>
      <c r="AA15" s="9">
        <f t="shared" si="7"/>
        <v>13</v>
      </c>
      <c r="AB15" s="9">
        <f t="shared" si="8"/>
        <v>5</v>
      </c>
      <c r="AC15" s="9">
        <f t="shared" si="9"/>
        <v>5</v>
      </c>
      <c r="AD15" s="9">
        <f t="shared" si="10"/>
        <v>5</v>
      </c>
    </row>
    <row r="16" spans="2:30" ht="15.75" thickBot="1" x14ac:dyDescent="0.3">
      <c r="F16" s="1" t="s">
        <v>27</v>
      </c>
      <c r="G16" s="2">
        <v>3</v>
      </c>
      <c r="H16" s="2">
        <v>3</v>
      </c>
      <c r="I16" s="2">
        <v>4</v>
      </c>
      <c r="J16" s="2">
        <v>4</v>
      </c>
      <c r="K16" s="2">
        <v>5</v>
      </c>
      <c r="R16" s="7" t="s">
        <v>27</v>
      </c>
      <c r="S16" s="9">
        <f t="shared" si="2"/>
        <v>3</v>
      </c>
      <c r="T16" s="9">
        <f t="shared" si="11"/>
        <v>2</v>
      </c>
      <c r="U16" s="9">
        <f t="shared" si="3"/>
        <v>3</v>
      </c>
      <c r="V16" s="9">
        <f t="shared" si="4"/>
        <v>3</v>
      </c>
      <c r="W16" s="9">
        <f t="shared" si="5"/>
        <v>2</v>
      </c>
      <c r="Y16" s="7" t="s">
        <v>27</v>
      </c>
      <c r="Z16" s="9">
        <f t="shared" si="6"/>
        <v>5</v>
      </c>
      <c r="AA16" s="9">
        <f t="shared" si="7"/>
        <v>13</v>
      </c>
      <c r="AB16" s="9">
        <f t="shared" si="8"/>
        <v>5</v>
      </c>
      <c r="AC16" s="9">
        <f t="shared" si="9"/>
        <v>5</v>
      </c>
      <c r="AD16" s="9">
        <f t="shared" si="10"/>
        <v>5</v>
      </c>
    </row>
    <row r="17" spans="6:30" ht="15.75" thickBot="1" x14ac:dyDescent="0.3">
      <c r="F17" s="4" t="s">
        <v>32</v>
      </c>
    </row>
    <row r="18" spans="6:30" ht="30.75" thickBot="1" x14ac:dyDescent="0.3">
      <c r="F18" s="1" t="s">
        <v>8</v>
      </c>
      <c r="G18" s="1" t="s">
        <v>14</v>
      </c>
      <c r="H18" s="1" t="s">
        <v>15</v>
      </c>
      <c r="I18" s="1" t="s">
        <v>16</v>
      </c>
      <c r="J18" s="1" t="s">
        <v>17</v>
      </c>
      <c r="K18" s="1" t="s">
        <v>18</v>
      </c>
      <c r="R18" s="5"/>
      <c r="S18" s="5"/>
      <c r="T18" s="5"/>
      <c r="U18" s="5"/>
      <c r="V18" s="5"/>
      <c r="W18" s="5"/>
      <c r="Y18" s="5"/>
      <c r="Z18" s="5"/>
      <c r="AA18" s="5"/>
      <c r="AB18" s="5"/>
      <c r="AC18" s="5"/>
      <c r="AD18" s="5"/>
    </row>
    <row r="19" spans="6:30" ht="15.75" thickBot="1" x14ac:dyDescent="0.3">
      <c r="F19" s="1" t="s">
        <v>24</v>
      </c>
      <c r="G19" s="2">
        <v>5</v>
      </c>
      <c r="H19" s="2">
        <v>13</v>
      </c>
      <c r="I19" s="2">
        <v>4</v>
      </c>
      <c r="J19" s="2">
        <v>3</v>
      </c>
      <c r="K19" s="2">
        <v>4</v>
      </c>
      <c r="R19" s="5"/>
      <c r="Y19" s="5"/>
    </row>
    <row r="20" spans="6:30" ht="15.75" thickBot="1" x14ac:dyDescent="0.3">
      <c r="F20" s="1" t="s">
        <v>25</v>
      </c>
      <c r="G20" s="2">
        <v>4</v>
      </c>
      <c r="H20" s="2">
        <v>5</v>
      </c>
      <c r="I20" s="2">
        <v>3</v>
      </c>
      <c r="J20" s="2">
        <v>4</v>
      </c>
      <c r="K20" s="2">
        <v>5</v>
      </c>
      <c r="R20" s="5"/>
      <c r="Y20" s="5"/>
    </row>
    <row r="21" spans="6:30" ht="15.75" thickBot="1" x14ac:dyDescent="0.3">
      <c r="F21" s="1" t="s">
        <v>26</v>
      </c>
      <c r="G21" s="2">
        <v>3</v>
      </c>
      <c r="H21" s="2">
        <v>3</v>
      </c>
      <c r="I21" s="2">
        <v>4</v>
      </c>
      <c r="J21" s="2">
        <v>5</v>
      </c>
      <c r="K21" s="2">
        <v>4</v>
      </c>
      <c r="R21" s="5"/>
      <c r="Y21" s="5"/>
    </row>
    <row r="22" spans="6:30" ht="15.75" thickBot="1" x14ac:dyDescent="0.3">
      <c r="F22" s="1" t="s">
        <v>27</v>
      </c>
      <c r="G22" s="2">
        <v>4</v>
      </c>
      <c r="H22" s="2">
        <v>4</v>
      </c>
      <c r="I22" s="2">
        <v>5</v>
      </c>
      <c r="J22" s="2">
        <v>4</v>
      </c>
      <c r="K22" s="2">
        <v>3</v>
      </c>
      <c r="R22" s="5"/>
      <c r="Y22" s="5"/>
    </row>
    <row r="23" spans="6:30" ht="15.75" thickBot="1" x14ac:dyDescent="0.3">
      <c r="F23" s="4" t="s">
        <v>33</v>
      </c>
    </row>
    <row r="24" spans="6:30" ht="30.75" thickBot="1" x14ac:dyDescent="0.3">
      <c r="F24" s="1" t="s">
        <v>8</v>
      </c>
      <c r="G24" s="1" t="s">
        <v>19</v>
      </c>
      <c r="H24" s="1" t="s">
        <v>20</v>
      </c>
      <c r="I24" s="1" t="s">
        <v>21</v>
      </c>
      <c r="J24" s="1" t="s">
        <v>22</v>
      </c>
      <c r="K24" s="1" t="s">
        <v>23</v>
      </c>
      <c r="R24" s="5"/>
      <c r="S24" s="5"/>
      <c r="T24" s="5"/>
      <c r="U24" s="5"/>
      <c r="V24" s="5"/>
      <c r="W24" s="5"/>
      <c r="Y24" s="5"/>
      <c r="Z24" s="5"/>
      <c r="AA24" s="5"/>
      <c r="AB24" s="5"/>
      <c r="AC24" s="5"/>
      <c r="AD24" s="5"/>
    </row>
    <row r="25" spans="6:30" ht="15.75" thickBot="1" x14ac:dyDescent="0.3">
      <c r="F25" s="1" t="s">
        <v>24</v>
      </c>
      <c r="G25" s="2">
        <v>3</v>
      </c>
      <c r="H25" s="2">
        <v>5</v>
      </c>
      <c r="I25" s="2">
        <v>3</v>
      </c>
      <c r="J25" s="2">
        <v>4</v>
      </c>
      <c r="K25" s="2">
        <v>2</v>
      </c>
      <c r="R25" s="5"/>
      <c r="Y25" s="5"/>
    </row>
    <row r="26" spans="6:30" ht="15.75" thickBot="1" x14ac:dyDescent="0.3">
      <c r="F26" s="1" t="s">
        <v>25</v>
      </c>
      <c r="G26" s="2">
        <v>5</v>
      </c>
      <c r="H26" s="2">
        <v>4</v>
      </c>
      <c r="I26" s="2">
        <v>5</v>
      </c>
      <c r="J26" s="2">
        <v>3</v>
      </c>
      <c r="K26" s="2">
        <v>4</v>
      </c>
      <c r="R26" s="5"/>
      <c r="Y26" s="5"/>
    </row>
    <row r="27" spans="6:30" ht="15.75" thickBot="1" x14ac:dyDescent="0.3">
      <c r="F27" s="1" t="s">
        <v>26</v>
      </c>
      <c r="G27" s="2">
        <v>4</v>
      </c>
      <c r="H27" s="2">
        <v>4</v>
      </c>
      <c r="I27" s="2">
        <v>3</v>
      </c>
      <c r="J27" s="2">
        <v>4</v>
      </c>
      <c r="K27" s="2">
        <v>5</v>
      </c>
      <c r="R27" s="5"/>
      <c r="Y27" s="5"/>
    </row>
    <row r="28" spans="6:30" ht="15.75" thickBot="1" x14ac:dyDescent="0.3">
      <c r="F28" s="1" t="s">
        <v>27</v>
      </c>
      <c r="G28" s="2">
        <v>3</v>
      </c>
      <c r="H28" s="2">
        <v>3</v>
      </c>
      <c r="I28" s="2">
        <v>4</v>
      </c>
      <c r="J28" s="2">
        <v>3</v>
      </c>
      <c r="K28" s="2">
        <v>4</v>
      </c>
      <c r="R28" s="5"/>
      <c r="Y28" s="5"/>
    </row>
    <row r="31" spans="6:30" ht="18.75" x14ac:dyDescent="0.3">
      <c r="F31" s="3" t="s">
        <v>42</v>
      </c>
      <c r="R31" s="3" t="s">
        <v>49</v>
      </c>
    </row>
    <row r="32" spans="6:30" ht="15.75" thickBot="1" x14ac:dyDescent="0.3">
      <c r="F32" s="4" t="s">
        <v>31</v>
      </c>
      <c r="R32" s="4" t="s">
        <v>31</v>
      </c>
    </row>
    <row r="33" spans="6:25" ht="30.75" thickBot="1" x14ac:dyDescent="0.3">
      <c r="F33" s="1" t="s">
        <v>8</v>
      </c>
      <c r="G33" s="1" t="s">
        <v>9</v>
      </c>
      <c r="H33" s="1" t="s">
        <v>10</v>
      </c>
      <c r="I33" s="1" t="s">
        <v>11</v>
      </c>
      <c r="J33" s="1" t="s">
        <v>12</v>
      </c>
      <c r="K33" s="1" t="s">
        <v>13</v>
      </c>
      <c r="R33" s="7" t="s">
        <v>8</v>
      </c>
      <c r="S33" s="11"/>
      <c r="T33" s="5"/>
      <c r="U33" s="11" t="s">
        <v>50</v>
      </c>
      <c r="V33" s="5"/>
      <c r="W33" s="5"/>
    </row>
    <row r="34" spans="6:25" ht="15.75" thickBot="1" x14ac:dyDescent="0.3">
      <c r="F34" s="1" t="s">
        <v>24</v>
      </c>
      <c r="G34" s="13">
        <f>(G13 - S$13) / (Z$13 - S$13)</f>
        <v>0.5</v>
      </c>
      <c r="H34" s="13">
        <f>(H13 - T$13) / (AA$13 - T$13)</f>
        <v>0.18181818181818182</v>
      </c>
      <c r="I34" s="13">
        <f t="shared" ref="I34:K34" si="12">(I13 - U$13) / (AB$13 - U$13)</f>
        <v>1</v>
      </c>
      <c r="J34" s="13">
        <f t="shared" si="12"/>
        <v>0.5</v>
      </c>
      <c r="K34" s="13">
        <f t="shared" si="12"/>
        <v>0.33333333333333331</v>
      </c>
      <c r="R34" s="7" t="s">
        <v>24</v>
      </c>
      <c r="S34" s="12">
        <f>SUMPRODUCT(G34:K34, Sheet2!$C$2:$G$2)</f>
        <v>0.49000056060606056</v>
      </c>
      <c r="T34" s="10"/>
      <c r="U34" s="12">
        <f>RANK(S34,S$34:S$37,0)</f>
        <v>3</v>
      </c>
      <c r="V34" s="10"/>
      <c r="W34" s="10"/>
    </row>
    <row r="35" spans="6:25" ht="15.75" thickBot="1" x14ac:dyDescent="0.3">
      <c r="F35" s="1" t="s">
        <v>25</v>
      </c>
      <c r="G35" s="13">
        <f t="shared" ref="G35:G37" si="13">(G14 - S$13) / (Z$13 - S$13)</f>
        <v>1</v>
      </c>
      <c r="H35" s="13">
        <f t="shared" ref="H35:H37" si="14">(H14 - T$13) / (AA$13 - T$13)</f>
        <v>0</v>
      </c>
      <c r="I35" s="13">
        <f t="shared" ref="I35:I37" si="15">(I14 - U$13) / (AB$13 - U$13)</f>
        <v>0.5</v>
      </c>
      <c r="J35" s="13">
        <f t="shared" ref="J35:J37" si="16">(J14 - V$13) / (AC$13 - V$13)</f>
        <v>0</v>
      </c>
      <c r="K35" s="13">
        <f t="shared" ref="K35:K37" si="17">(K14 - W$13) / (AD$13 - W$13)</f>
        <v>0.66666666666666663</v>
      </c>
      <c r="R35" s="7" t="s">
        <v>25</v>
      </c>
      <c r="S35" s="12">
        <f>SUMPRODUCT(G35:K35, Sheet2!$C$2:$G$2)</f>
        <v>0.56166716666666661</v>
      </c>
      <c r="T35" s="10"/>
      <c r="U35" s="12">
        <f t="shared" ref="U35:U37" si="18">RANK(S35,S$34:S$37,0)</f>
        <v>2</v>
      </c>
      <c r="V35" s="10"/>
      <c r="W35" s="10"/>
    </row>
    <row r="36" spans="6:25" ht="15.75" thickBot="1" x14ac:dyDescent="0.3">
      <c r="F36" s="1" t="s">
        <v>26</v>
      </c>
      <c r="G36" s="13">
        <f t="shared" si="13"/>
        <v>1</v>
      </c>
      <c r="H36" s="13">
        <f t="shared" si="14"/>
        <v>0.27272727272727271</v>
      </c>
      <c r="I36" s="13">
        <f t="shared" si="15"/>
        <v>0.5</v>
      </c>
      <c r="J36" s="13">
        <f t="shared" si="16"/>
        <v>1</v>
      </c>
      <c r="K36" s="13">
        <f t="shared" si="17"/>
        <v>0.33333333333333331</v>
      </c>
      <c r="R36" s="7" t="s">
        <v>26</v>
      </c>
      <c r="S36" s="12">
        <f>SUMPRODUCT(G36:K36, Sheet2!$C$2:$G$2)</f>
        <v>0.70833392424242425</v>
      </c>
      <c r="T36" s="10"/>
      <c r="U36" s="12">
        <f t="shared" si="18"/>
        <v>1</v>
      </c>
      <c r="V36" s="10"/>
      <c r="W36" s="10"/>
    </row>
    <row r="37" spans="6:25" ht="15.75" thickBot="1" x14ac:dyDescent="0.3">
      <c r="F37" s="1" t="s">
        <v>27</v>
      </c>
      <c r="G37" s="13">
        <f t="shared" si="13"/>
        <v>0</v>
      </c>
      <c r="H37" s="13">
        <f t="shared" si="14"/>
        <v>9.0909090909090912E-2</v>
      </c>
      <c r="I37" s="13">
        <f t="shared" si="15"/>
        <v>0.5</v>
      </c>
      <c r="J37" s="13">
        <f t="shared" si="16"/>
        <v>0.5</v>
      </c>
      <c r="K37" s="13">
        <f t="shared" si="17"/>
        <v>1</v>
      </c>
      <c r="R37" s="7" t="s">
        <v>27</v>
      </c>
      <c r="S37" s="12">
        <f>SUMPRODUCT(G37:K37, Sheet2!$C$2:$G$2)</f>
        <v>0.18666686363636364</v>
      </c>
      <c r="T37" s="10"/>
      <c r="U37" s="12">
        <f t="shared" si="18"/>
        <v>4</v>
      </c>
      <c r="V37" s="10"/>
      <c r="W37" s="10"/>
    </row>
    <row r="38" spans="6:25" ht="15.75" thickBot="1" x14ac:dyDescent="0.3">
      <c r="F38" s="4" t="s">
        <v>32</v>
      </c>
      <c r="R38" s="4" t="s">
        <v>32</v>
      </c>
      <c r="S38" s="9"/>
    </row>
    <row r="39" spans="6:25" ht="30.75" thickBot="1" x14ac:dyDescent="0.3">
      <c r="F39" s="1" t="s">
        <v>8</v>
      </c>
      <c r="G39" s="1" t="s">
        <v>9</v>
      </c>
      <c r="H39" s="1" t="s">
        <v>10</v>
      </c>
      <c r="I39" s="1" t="s">
        <v>11</v>
      </c>
      <c r="J39" s="1" t="s">
        <v>12</v>
      </c>
      <c r="K39" s="1" t="s">
        <v>13</v>
      </c>
      <c r="R39" s="7" t="s">
        <v>8</v>
      </c>
      <c r="S39" s="11"/>
      <c r="T39" s="5"/>
      <c r="U39" s="11" t="s">
        <v>50</v>
      </c>
      <c r="V39" s="5"/>
      <c r="W39" s="5"/>
    </row>
    <row r="40" spans="6:25" ht="15.75" thickBot="1" x14ac:dyDescent="0.3">
      <c r="F40" s="1" t="s">
        <v>24</v>
      </c>
      <c r="G40" s="13">
        <f t="shared" ref="G40:K43" si="19">(G19 - S$13) / (Z$13 - S$13)</f>
        <v>1</v>
      </c>
      <c r="H40" s="13">
        <f t="shared" si="19"/>
        <v>1</v>
      </c>
      <c r="I40" s="13">
        <f t="shared" si="19"/>
        <v>0.5</v>
      </c>
      <c r="J40" s="13">
        <f t="shared" si="19"/>
        <v>0</v>
      </c>
      <c r="K40" s="13">
        <f t="shared" si="19"/>
        <v>0.66666666666666663</v>
      </c>
      <c r="R40" s="7" t="s">
        <v>24</v>
      </c>
      <c r="S40" s="12">
        <f>SUMPRODUCT(G40:K40, Sheet2!$C$2:$G$2)</f>
        <v>0.81833416666666658</v>
      </c>
      <c r="T40" s="10"/>
      <c r="U40" s="12">
        <f>RANK(S40,S$40:S$43,0)</f>
        <v>1</v>
      </c>
      <c r="V40" s="10"/>
      <c r="W40" s="10"/>
    </row>
    <row r="41" spans="6:25" ht="15.75" thickBot="1" x14ac:dyDescent="0.3">
      <c r="F41" s="1" t="s">
        <v>25</v>
      </c>
      <c r="G41" s="13">
        <f t="shared" si="19"/>
        <v>0.5</v>
      </c>
      <c r="H41" s="13">
        <f t="shared" si="19"/>
        <v>0.27272727272727271</v>
      </c>
      <c r="I41" s="13">
        <f t="shared" si="19"/>
        <v>0</v>
      </c>
      <c r="J41" s="13">
        <f t="shared" si="19"/>
        <v>0.5</v>
      </c>
      <c r="K41" s="13">
        <f t="shared" si="19"/>
        <v>1</v>
      </c>
      <c r="R41" s="7" t="s">
        <v>25</v>
      </c>
      <c r="S41" s="12">
        <f>SUMPRODUCT(G41:K41, Sheet2!$C$2:$G$2)</f>
        <v>0.38333359090909086</v>
      </c>
      <c r="T41" s="10"/>
      <c r="U41" s="12">
        <f t="shared" ref="U41:U43" si="20">RANK(S41,S$40:S$43,0)</f>
        <v>3</v>
      </c>
      <c r="V41" s="10"/>
      <c r="W41" s="10"/>
      <c r="Y41" t="s">
        <v>81</v>
      </c>
    </row>
    <row r="42" spans="6:25" ht="15.75" thickBot="1" x14ac:dyDescent="0.3">
      <c r="F42" s="1" t="s">
        <v>26</v>
      </c>
      <c r="G42" s="13">
        <f t="shared" si="19"/>
        <v>0</v>
      </c>
      <c r="H42" s="13">
        <f t="shared" si="19"/>
        <v>9.0909090909090912E-2</v>
      </c>
      <c r="I42" s="13">
        <f t="shared" si="19"/>
        <v>0.5</v>
      </c>
      <c r="J42" s="13">
        <f t="shared" si="19"/>
        <v>1</v>
      </c>
      <c r="K42" s="13">
        <f t="shared" si="19"/>
        <v>0.66666666666666663</v>
      </c>
      <c r="R42" s="7" t="s">
        <v>26</v>
      </c>
      <c r="S42" s="12">
        <f>SUMPRODUCT(G42:K42, Sheet2!$C$2:$G$2)</f>
        <v>0.21833353030303032</v>
      </c>
      <c r="T42" s="10"/>
      <c r="U42" s="12">
        <f t="shared" si="20"/>
        <v>4</v>
      </c>
      <c r="V42" s="10"/>
      <c r="W42" s="10"/>
      <c r="Y42" t="s">
        <v>82</v>
      </c>
    </row>
    <row r="43" spans="6:25" ht="15.75" thickBot="1" x14ac:dyDescent="0.3">
      <c r="F43" s="1" t="s">
        <v>27</v>
      </c>
      <c r="G43" s="13">
        <f t="shared" si="19"/>
        <v>0.5</v>
      </c>
      <c r="H43" s="13">
        <f t="shared" si="19"/>
        <v>0.18181818181818182</v>
      </c>
      <c r="I43" s="13">
        <f t="shared" si="19"/>
        <v>1</v>
      </c>
      <c r="J43" s="13">
        <f t="shared" si="19"/>
        <v>0.5</v>
      </c>
      <c r="K43" s="13">
        <f t="shared" si="19"/>
        <v>0.33333333333333331</v>
      </c>
      <c r="R43" s="7" t="s">
        <v>27</v>
      </c>
      <c r="S43" s="12">
        <f>SUMPRODUCT(G43:K43, Sheet2!$C$2:$G$2)</f>
        <v>0.49000056060606056</v>
      </c>
      <c r="T43" s="10"/>
      <c r="U43" s="12">
        <f t="shared" si="20"/>
        <v>2</v>
      </c>
      <c r="V43" s="10"/>
      <c r="W43" s="10"/>
      <c r="Y43" t="s">
        <v>83</v>
      </c>
    </row>
    <row r="44" spans="6:25" ht="15.75" thickBot="1" x14ac:dyDescent="0.3">
      <c r="F44" s="4" t="s">
        <v>33</v>
      </c>
      <c r="R44" s="4" t="s">
        <v>33</v>
      </c>
      <c r="S44" s="12"/>
    </row>
    <row r="45" spans="6:25" ht="30.75" thickBot="1" x14ac:dyDescent="0.3">
      <c r="F45" s="1" t="s">
        <v>8</v>
      </c>
      <c r="G45" s="1" t="s">
        <v>9</v>
      </c>
      <c r="H45" s="1" t="s">
        <v>10</v>
      </c>
      <c r="I45" s="1" t="s">
        <v>11</v>
      </c>
      <c r="J45" s="1" t="s">
        <v>12</v>
      </c>
      <c r="K45" s="1" t="s">
        <v>13</v>
      </c>
      <c r="R45" s="7" t="s">
        <v>8</v>
      </c>
      <c r="S45" s="11"/>
      <c r="T45" s="5"/>
      <c r="U45" s="11" t="s">
        <v>50</v>
      </c>
      <c r="V45" s="5"/>
      <c r="W45" s="5"/>
    </row>
    <row r="46" spans="6:25" ht="15.75" thickBot="1" x14ac:dyDescent="0.3">
      <c r="F46" s="1" t="s">
        <v>24</v>
      </c>
      <c r="G46" s="13">
        <f t="shared" ref="G46:K49" si="21">(G25 - S$13) / (Z$13 - S$13)</f>
        <v>0</v>
      </c>
      <c r="H46" s="13">
        <f t="shared" si="21"/>
        <v>0.27272727272727271</v>
      </c>
      <c r="I46" s="13">
        <f t="shared" si="21"/>
        <v>0</v>
      </c>
      <c r="J46" s="13">
        <f t="shared" si="21"/>
        <v>0.5</v>
      </c>
      <c r="K46" s="13">
        <f t="shared" si="21"/>
        <v>0</v>
      </c>
      <c r="R46" s="7" t="s">
        <v>24</v>
      </c>
      <c r="S46" s="12">
        <f>SUMPRODUCT(G46:K46, Sheet2!$C$2:$G$2)</f>
        <v>0.1150000909090909</v>
      </c>
      <c r="T46" s="10"/>
      <c r="U46" s="12">
        <f>RANK(S46,S$46:S$49,0)</f>
        <v>4</v>
      </c>
      <c r="V46" s="10"/>
      <c r="W46" s="10"/>
    </row>
    <row r="47" spans="6:25" ht="15.75" thickBot="1" x14ac:dyDescent="0.3">
      <c r="F47" s="1" t="s">
        <v>25</v>
      </c>
      <c r="G47" s="13">
        <f t="shared" si="21"/>
        <v>1</v>
      </c>
      <c r="H47" s="13">
        <f t="shared" si="21"/>
        <v>0.18181818181818182</v>
      </c>
      <c r="I47" s="13">
        <f t="shared" si="21"/>
        <v>1</v>
      </c>
      <c r="J47" s="13">
        <f t="shared" si="21"/>
        <v>0</v>
      </c>
      <c r="K47" s="13">
        <f t="shared" si="21"/>
        <v>0.66666666666666663</v>
      </c>
      <c r="R47" s="7" t="s">
        <v>25</v>
      </c>
      <c r="S47" s="12">
        <f>SUMPRODUCT(G47:K47, Sheet2!$C$2:$G$2)</f>
        <v>0.68666739393939391</v>
      </c>
      <c r="T47" s="10"/>
      <c r="U47" s="12">
        <f t="shared" ref="U47:U49" si="22">RANK(S47,S$46:S$49,0)</f>
        <v>1</v>
      </c>
      <c r="V47" s="10"/>
      <c r="W47" s="10"/>
    </row>
    <row r="48" spans="6:25" ht="15.75" thickBot="1" x14ac:dyDescent="0.3">
      <c r="F48" s="1" t="s">
        <v>26</v>
      </c>
      <c r="G48" s="13">
        <f t="shared" si="21"/>
        <v>0.5</v>
      </c>
      <c r="H48" s="13">
        <f t="shared" si="21"/>
        <v>0.18181818181818182</v>
      </c>
      <c r="I48" s="13">
        <f t="shared" si="21"/>
        <v>0</v>
      </c>
      <c r="J48" s="13">
        <f t="shared" si="21"/>
        <v>0.5</v>
      </c>
      <c r="K48" s="13">
        <f t="shared" si="21"/>
        <v>1</v>
      </c>
      <c r="R48" s="7" t="s">
        <v>26</v>
      </c>
      <c r="S48" s="12">
        <f>SUMPRODUCT(G48:K48, Sheet2!$C$2:$G$2)</f>
        <v>0.36000022727272724</v>
      </c>
      <c r="T48" s="10"/>
      <c r="U48" s="12">
        <f t="shared" si="22"/>
        <v>2</v>
      </c>
      <c r="V48" s="10"/>
      <c r="W48" s="10"/>
    </row>
    <row r="49" spans="6:29" ht="15.75" thickBot="1" x14ac:dyDescent="0.3">
      <c r="F49" s="1" t="s">
        <v>27</v>
      </c>
      <c r="G49" s="13">
        <f t="shared" si="21"/>
        <v>0</v>
      </c>
      <c r="H49" s="13">
        <f t="shared" si="21"/>
        <v>9.0909090909090912E-2</v>
      </c>
      <c r="I49" s="13">
        <f t="shared" si="21"/>
        <v>0.5</v>
      </c>
      <c r="J49" s="13">
        <f t="shared" si="21"/>
        <v>0</v>
      </c>
      <c r="K49" s="13">
        <f t="shared" si="21"/>
        <v>0.66666666666666663</v>
      </c>
      <c r="R49" s="7" t="s">
        <v>27</v>
      </c>
      <c r="S49" s="12">
        <f>SUMPRODUCT(G49:K49, Sheet2!$C$2:$G$2)</f>
        <v>0.1283335303030303</v>
      </c>
      <c r="T49" s="10"/>
      <c r="U49" s="12">
        <f t="shared" si="22"/>
        <v>3</v>
      </c>
      <c r="V49" s="10"/>
      <c r="W49" s="10"/>
    </row>
    <row r="50" spans="6:29" x14ac:dyDescent="0.25">
      <c r="L50" s="14"/>
    </row>
    <row r="52" spans="6:29" x14ac:dyDescent="0.25">
      <c r="R52" s="4" t="s">
        <v>51</v>
      </c>
    </row>
    <row r="53" spans="6:29" x14ac:dyDescent="0.25">
      <c r="O53" s="14"/>
      <c r="AA53" t="s">
        <v>73</v>
      </c>
    </row>
    <row r="54" spans="6:29" x14ac:dyDescent="0.25">
      <c r="Q54" s="9"/>
      <c r="R54" s="11" t="s">
        <v>72</v>
      </c>
      <c r="S54" s="9" t="s">
        <v>81</v>
      </c>
      <c r="T54" s="9" t="s">
        <v>82</v>
      </c>
      <c r="U54" s="9" t="s">
        <v>83</v>
      </c>
      <c r="V54" s="9"/>
      <c r="W54" s="9"/>
      <c r="Y54" s="9" t="s">
        <v>81</v>
      </c>
      <c r="Z54" s="9">
        <f>COUNTIF(R55:R74,Y54)</f>
        <v>4</v>
      </c>
      <c r="AA54" s="9">
        <f>RANK(Z54,Z$54:Z$56,0)</f>
        <v>3</v>
      </c>
    </row>
    <row r="55" spans="6:29" x14ac:dyDescent="0.25">
      <c r="Q55" s="11" t="s">
        <v>52</v>
      </c>
      <c r="R55" s="9" t="s">
        <v>81</v>
      </c>
      <c r="S55" s="9" t="str">
        <f>IF($R55="DM 1, Lazada (A3)", "✓", "")</f>
        <v>✓</v>
      </c>
      <c r="T55" s="9" t="str">
        <f>IF($R55="DM 2, Shopee (A1)", "✓", "")</f>
        <v/>
      </c>
      <c r="U55" s="9" t="str">
        <f>IF($R55="DM 3, Tokopedia (A2)", "✓", "")</f>
        <v/>
      </c>
      <c r="V55" s="9" t="str">
        <f>IF(R55="DM 1, Lazada (A3)", "Lazada (A3)", IF(R55="DM 2, Shopee (A1)", "Shopee (A1)", IF(R55="DM 3, Tokopedia (A2)", "Tokopedia (A2)", "")))</f>
        <v>Lazada (A3)</v>
      </c>
      <c r="W55" s="9"/>
      <c r="Y55" s="9" t="s">
        <v>82</v>
      </c>
      <c r="Z55" s="9">
        <f>COUNTIF(R55:R74,Y55)</f>
        <v>8</v>
      </c>
      <c r="AA55" s="9">
        <f t="shared" ref="AA55:AA56" si="23">RANK(Z55,Z$54:Z$56,0)</f>
        <v>1</v>
      </c>
    </row>
    <row r="56" spans="6:29" x14ac:dyDescent="0.25">
      <c r="Q56" s="11" t="s">
        <v>53</v>
      </c>
      <c r="R56" s="9" t="s">
        <v>83</v>
      </c>
      <c r="S56" s="9" t="str">
        <f>IF($R56="DM 1, Lazada (A3)", "✓", "")</f>
        <v/>
      </c>
      <c r="T56" s="9" t="str">
        <f>IF($R56="DM 2, Shopee (A1)", "✓", "")</f>
        <v/>
      </c>
      <c r="U56" s="9" t="str">
        <f>IF($R56="DM 3, Tokopedia (A2)", "✓", "")</f>
        <v>✓</v>
      </c>
      <c r="V56" s="9" t="str">
        <f>IF(R56="DM 1, Lazada (A3)", "Lazada (A3)", IF(R56="DM 2, Shopee (A1)", "Shopee (A1)", IF(R56="DM 3, Tokopedia (A2)", "Tokopedia (A2)", "")))</f>
        <v>Tokopedia (A2)</v>
      </c>
      <c r="W56" s="9"/>
      <c r="Y56" s="9" t="s">
        <v>83</v>
      </c>
      <c r="Z56" s="9">
        <f>COUNTIF(R55:R74,Y56)</f>
        <v>8</v>
      </c>
      <c r="AA56" s="9">
        <f t="shared" si="23"/>
        <v>1</v>
      </c>
    </row>
    <row r="57" spans="6:29" x14ac:dyDescent="0.25">
      <c r="Q57" s="11" t="s">
        <v>54</v>
      </c>
      <c r="R57" s="9" t="s">
        <v>82</v>
      </c>
      <c r="S57" s="9" t="str">
        <f>IF($R57="DM 1, Lazada (A3)", "✓", "")</f>
        <v/>
      </c>
      <c r="T57" s="9" t="str">
        <f>IF($R57="DM 2, Shopee (A1)", "✓", "")</f>
        <v>✓</v>
      </c>
      <c r="U57" s="9" t="str">
        <f>IF($R57="DM 3, Tokopedia (A2)", "✓", "")</f>
        <v/>
      </c>
      <c r="V57" s="9" t="str">
        <f>IF(R57="DM 1, Lazada (A3)", "Lazada (A3)", IF(R57="DM 2, Shopee (A1)", "Shopee (A1)", IF(R57="DM 3, Tokopedia (A2)", "Tokopedia (A2)", "")))</f>
        <v>Shopee (A1)</v>
      </c>
      <c r="W57" s="9"/>
    </row>
    <row r="58" spans="6:29" x14ac:dyDescent="0.25">
      <c r="Q58" s="11" t="s">
        <v>55</v>
      </c>
      <c r="R58" s="9" t="s">
        <v>82</v>
      </c>
      <c r="S58" s="9" t="str">
        <f>IF($R58="DM 1, Lazada (A3)", "✓", "")</f>
        <v/>
      </c>
      <c r="T58" s="9" t="str">
        <f>IF($R58="DM 2, Shopee (A1)", "✓", "")</f>
        <v>✓</v>
      </c>
      <c r="U58" s="9" t="str">
        <f>IF($R58="DM 3, Tokopedia (A2)", "✓", "")</f>
        <v/>
      </c>
      <c r="V58" s="9" t="str">
        <f>IF(R58="DM 1, Lazada (A3)", "Lazada (A3)", IF(R58="DM 2, Shopee (A1)", "Shopee (A1)", IF(R58="DM 3, Tokopedia (A2)", "Tokopedia (A2)", "")))</f>
        <v>Shopee (A1)</v>
      </c>
      <c r="W58" s="9"/>
    </row>
    <row r="59" spans="6:29" x14ac:dyDescent="0.25">
      <c r="Q59" s="11" t="s">
        <v>56</v>
      </c>
      <c r="R59" s="9" t="s">
        <v>82</v>
      </c>
      <c r="S59" s="9" t="str">
        <f>IF($R59="DM 1, Lazada (A3)", "✓", "")</f>
        <v/>
      </c>
      <c r="T59" s="9" t="str">
        <f>IF($R59="DM 2, Shopee (A1)", "✓", "")</f>
        <v>✓</v>
      </c>
      <c r="U59" s="9" t="str">
        <f>IF($R59="DM 3, Tokopedia (A2)", "✓", "")</f>
        <v/>
      </c>
      <c r="V59" s="9" t="str">
        <f>IF(R59="DM 1, Lazada (A3)", "Lazada (A3)", IF(R59="DM 2, Shopee (A1)", "Shopee (A1)", IF(R59="DM 3, Tokopedia (A2)", "Tokopedia (A2)", "")))</f>
        <v>Shopee (A1)</v>
      </c>
      <c r="W59" s="9"/>
    </row>
    <row r="60" spans="6:29" x14ac:dyDescent="0.25">
      <c r="Q60" s="11" t="s">
        <v>57</v>
      </c>
      <c r="R60" s="9" t="s">
        <v>82</v>
      </c>
      <c r="S60" s="9" t="str">
        <f>IF($R60="DM 1, Lazada (A3)", "✓", "")</f>
        <v/>
      </c>
      <c r="T60" s="9" t="str">
        <f>IF($R60="DM 2, Shopee (A1)", "✓", "")</f>
        <v>✓</v>
      </c>
      <c r="U60" s="9" t="str">
        <f>IF($R60="DM 3, Tokopedia (A2)", "✓", "")</f>
        <v/>
      </c>
      <c r="V60" s="9" t="str">
        <f>IF(R60="DM 1, Lazada (A3)", "Lazada (A3)", IF(R60="DM 2, Shopee (A1)", "Shopee (A1)", IF(R60="DM 3, Tokopedia (A2)", "Tokopedia (A2)", "")))</f>
        <v>Shopee (A1)</v>
      </c>
      <c r="W60" s="9"/>
      <c r="Y60" s="4" t="s">
        <v>74</v>
      </c>
    </row>
    <row r="61" spans="6:29" x14ac:dyDescent="0.25">
      <c r="Q61" s="11" t="s">
        <v>58</v>
      </c>
      <c r="R61" s="9" t="s">
        <v>82</v>
      </c>
      <c r="S61" s="9" t="str">
        <f>IF($R61="DM 1, Lazada (A3)", "✓", "")</f>
        <v/>
      </c>
      <c r="T61" s="9" t="str">
        <f>IF($R61="DM 2, Shopee (A1)", "✓", "")</f>
        <v>✓</v>
      </c>
      <c r="U61" s="9" t="str">
        <f>IF($R61="DM 3, Tokopedia (A2)", "✓", "")</f>
        <v/>
      </c>
      <c r="V61" s="9" t="str">
        <f>IF(R61="DM 1, Lazada (A3)", "Lazada (A3)", IF(R61="DM 2, Shopee (A1)", "Shopee (A1)", IF(R61="DM 3, Tokopedia (A2)", "Tokopedia (A2)", "")))</f>
        <v>Shopee (A1)</v>
      </c>
      <c r="W61" s="9"/>
      <c r="Y61" t="s">
        <v>24</v>
      </c>
    </row>
    <row r="62" spans="6:29" x14ac:dyDescent="0.25">
      <c r="Q62" s="11" t="s">
        <v>59</v>
      </c>
      <c r="R62" s="9" t="s">
        <v>81</v>
      </c>
      <c r="S62" s="9" t="str">
        <f>IF($R62="DM 1, Lazada (A3)", "✓", "")</f>
        <v>✓</v>
      </c>
      <c r="T62" s="9" t="str">
        <f>IF($R62="DM 2, Shopee (A1)", "✓", "")</f>
        <v/>
      </c>
      <c r="U62" s="9" t="str">
        <f>IF($R62="DM 3, Tokopedia (A2)", "✓", "")</f>
        <v/>
      </c>
      <c r="V62" s="9" t="str">
        <f>IF(R62="DM 1, Lazada (A3)", "Lazada (A3)", IF(R62="DM 2, Shopee (A1)", "Shopee (A1)", IF(R62="DM 3, Tokopedia (A2)", "Tokopedia (A2)", "")))</f>
        <v>Lazada (A3)</v>
      </c>
      <c r="W62" s="9"/>
      <c r="Z62" s="9" t="s">
        <v>75</v>
      </c>
      <c r="AA62" s="9" t="s">
        <v>31</v>
      </c>
      <c r="AB62" s="9" t="s">
        <v>32</v>
      </c>
      <c r="AC62" s="9" t="s">
        <v>33</v>
      </c>
    </row>
    <row r="63" spans="6:29" x14ac:dyDescent="0.25">
      <c r="Q63" s="11" t="s">
        <v>60</v>
      </c>
      <c r="R63" s="9" t="s">
        <v>81</v>
      </c>
      <c r="S63" s="9" t="str">
        <f>IF($R63="DM 1, Lazada (A3)", "✓", "")</f>
        <v>✓</v>
      </c>
      <c r="T63" s="9" t="str">
        <f>IF($R63="DM 2, Shopee (A1)", "✓", "")</f>
        <v/>
      </c>
      <c r="U63" s="9" t="str">
        <f>IF($R63="DM 3, Tokopedia (A2)", "✓", "")</f>
        <v/>
      </c>
      <c r="V63" s="9" t="str">
        <f>IF(R63="DM 1, Lazada (A3)", "Lazada (A3)", IF(R63="DM 2, Shopee (A1)", "Shopee (A1)", IF(R63="DM 3, Tokopedia (A2)", "Tokopedia (A2)", "")))</f>
        <v>Lazada (A3)</v>
      </c>
      <c r="W63" s="9"/>
      <c r="Z63" s="9" t="s">
        <v>76</v>
      </c>
      <c r="AA63" s="9"/>
      <c r="AB63" s="9"/>
      <c r="AC63" s="9"/>
    </row>
    <row r="64" spans="6:29" x14ac:dyDescent="0.25">
      <c r="Q64" s="11" t="s">
        <v>61</v>
      </c>
      <c r="R64" s="9" t="s">
        <v>83</v>
      </c>
      <c r="S64" s="9" t="str">
        <f>IF($R64="DM 1, Lazada (A3)", "✓", "")</f>
        <v/>
      </c>
      <c r="T64" s="9" t="str">
        <f>IF($R64="DM 2, Shopee (A1)", "✓", "")</f>
        <v/>
      </c>
      <c r="U64" s="9" t="str">
        <f>IF($R64="DM 3, Tokopedia (A2)", "✓", "")</f>
        <v>✓</v>
      </c>
      <c r="V64" s="9" t="str">
        <f>IF(R64="DM 1, Lazada (A3)", "Lazada (A3)", IF(R64="DM 2, Shopee (A1)", "Shopee (A1)", IF(R64="DM 3, Tokopedia (A2)", "Tokopedia (A2)", "")))</f>
        <v>Tokopedia (A2)</v>
      </c>
      <c r="W64" s="9"/>
      <c r="Z64" s="9" t="s">
        <v>79</v>
      </c>
      <c r="AA64" s="9">
        <f>VLOOKUP($Y$61,$R$34:$U$37, 2, FALSE)</f>
        <v>0.49000056060606056</v>
      </c>
      <c r="AB64" s="9">
        <f>VLOOKUP($Y$61,$R$40:$U$43, 2, FALSE)</f>
        <v>0.81833416666666658</v>
      </c>
      <c r="AC64" s="9">
        <f>VLOOKUP($Y$61,$R$46:$U$49, 2, FALSE)</f>
        <v>0.1150000909090909</v>
      </c>
    </row>
    <row r="65" spans="17:29" x14ac:dyDescent="0.25">
      <c r="Q65" s="11" t="s">
        <v>62</v>
      </c>
      <c r="R65" s="9" t="s">
        <v>83</v>
      </c>
      <c r="S65" s="9" t="str">
        <f>IF($R65="DM 1, Lazada (A3)", "✓", "")</f>
        <v/>
      </c>
      <c r="T65" s="9" t="str">
        <f>IF($R65="DM 2, Shopee (A1)", "✓", "")</f>
        <v/>
      </c>
      <c r="U65" s="9" t="str">
        <f>IF($R65="DM 3, Tokopedia (A2)", "✓", "")</f>
        <v>✓</v>
      </c>
      <c r="V65" s="9" t="str">
        <f>IF(R65="DM 1, Lazada (A3)", "Lazada (A3)", IF(R65="DM 2, Shopee (A1)", "Shopee (A1)", IF(R65="DM 3, Tokopedia (A2)", "Tokopedia (A2)", "")))</f>
        <v>Tokopedia (A2)</v>
      </c>
      <c r="W65" s="9"/>
      <c r="Z65" s="9" t="s">
        <v>80</v>
      </c>
      <c r="AA65" s="9">
        <f>VLOOKUP($Y$61,$R$34:$U$37, 4, FALSE)</f>
        <v>3</v>
      </c>
      <c r="AB65" s="9">
        <f>VLOOKUP($Y$61,$R$40:$U$43, 4, FALSE)</f>
        <v>1</v>
      </c>
      <c r="AC65" s="9">
        <f>VLOOKUP($Y$61,$R$46:$U$49, 4, FALSE)</f>
        <v>4</v>
      </c>
    </row>
    <row r="66" spans="17:29" x14ac:dyDescent="0.25">
      <c r="Q66" s="11" t="s">
        <v>63</v>
      </c>
      <c r="R66" s="9" t="s">
        <v>83</v>
      </c>
      <c r="S66" s="9" t="str">
        <f>IF($R66="DM 1, Lazada (A3)", "✓", "")</f>
        <v/>
      </c>
      <c r="T66" s="9" t="str">
        <f>IF($R66="DM 2, Shopee (A1)", "✓", "")</f>
        <v/>
      </c>
      <c r="U66" s="9" t="str">
        <f>IF($R66="DM 3, Tokopedia (A2)", "✓", "")</f>
        <v>✓</v>
      </c>
      <c r="V66" s="9" t="str">
        <f>IF(R66="DM 1, Lazada (A3)", "Lazada (A3)", IF(R66="DM 2, Shopee (A1)", "Shopee (A1)", IF(R66="DM 3, Tokopedia (A2)", "Tokopedia (A2)", "")))</f>
        <v>Tokopedia (A2)</v>
      </c>
      <c r="W66" s="9"/>
      <c r="Y66" t="str">
        <f>IF(Y61="Shopee (A1)","DM 2, Shopee (A1)", IF(Y61="Lazada (A3)","DM 1, Lazada (A3)", IF(Y61="Tokopedia (A2)","DM 3, Tokopedia (A2)","")))</f>
        <v>DM 2, Shopee (A1)</v>
      </c>
      <c r="Z66" s="14"/>
    </row>
    <row r="67" spans="17:29" x14ac:dyDescent="0.25">
      <c r="Q67" s="11" t="s">
        <v>64</v>
      </c>
      <c r="R67" s="9" t="s">
        <v>83</v>
      </c>
      <c r="S67" s="9" t="str">
        <f>IF($R67="DM 1, Lazada (A3)", "✓", "")</f>
        <v/>
      </c>
      <c r="T67" s="9" t="str">
        <f>IF($R67="DM 2, Shopee (A1)", "✓", "")</f>
        <v/>
      </c>
      <c r="U67" s="9" t="str">
        <f>IF($R67="DM 3, Tokopedia (A2)", "✓", "")</f>
        <v>✓</v>
      </c>
      <c r="V67" s="9" t="str">
        <f>IF(R67="DM 1, Lazada (A3)", "Lazada (A3)", IF(R67="DM 2, Shopee (A1)", "Shopee (A1)", IF(R67="DM 3, Tokopedia (A2)", "Tokopedia (A2)", "")))</f>
        <v>Tokopedia (A2)</v>
      </c>
      <c r="W67" s="9"/>
      <c r="Z67" s="9" t="s">
        <v>77</v>
      </c>
      <c r="AA67" s="9"/>
    </row>
    <row r="68" spans="17:29" x14ac:dyDescent="0.25">
      <c r="Q68" s="11" t="s">
        <v>65</v>
      </c>
      <c r="R68" s="9" t="s">
        <v>83</v>
      </c>
      <c r="S68" s="9" t="str">
        <f>IF($R68="DM 1, Lazada (A3)", "✓", "")</f>
        <v/>
      </c>
      <c r="T68" s="9" t="str">
        <f>IF($R68="DM 2, Shopee (A1)", "✓", "")</f>
        <v/>
      </c>
      <c r="U68" s="9" t="str">
        <f>IF($R68="DM 3, Tokopedia (A2)", "✓", "")</f>
        <v>✓</v>
      </c>
      <c r="V68" s="9" t="str">
        <f>IF(R68="DM 1, Lazada (A3)", "Lazada (A3)", IF(R68="DM 2, Shopee (A1)", "Shopee (A1)", IF(R68="DM 3, Tokopedia (A2)", "Tokopedia (A2)", "")))</f>
        <v>Tokopedia (A2)</v>
      </c>
      <c r="W68" s="9"/>
      <c r="Z68" s="9" t="s">
        <v>78</v>
      </c>
      <c r="AA68" s="9">
        <f>VLOOKUP(Y66,$Y$54:$AA$56, 2, FALSE)</f>
        <v>8</v>
      </c>
    </row>
    <row r="69" spans="17:29" x14ac:dyDescent="0.25">
      <c r="Q69" s="11" t="s">
        <v>66</v>
      </c>
      <c r="R69" s="9" t="s">
        <v>83</v>
      </c>
      <c r="S69" s="9" t="str">
        <f>IF($R69="DM 1, Lazada (A3)", "✓", "")</f>
        <v/>
      </c>
      <c r="T69" s="9" t="str">
        <f>IF($R69="DM 2, Shopee (A1)", "✓", "")</f>
        <v/>
      </c>
      <c r="U69" s="9" t="str">
        <f>IF($R69="DM 3, Tokopedia (A2)", "✓", "")</f>
        <v>✓</v>
      </c>
      <c r="V69" s="9" t="str">
        <f>IF(R69="DM 1, Lazada (A3)", "Lazada (A3)", IF(R69="DM 2, Shopee (A1)", "Shopee (A1)", IF(R69="DM 3, Tokopedia (A2)", "Tokopedia (A2)", "")))</f>
        <v>Tokopedia (A2)</v>
      </c>
      <c r="W69" s="9"/>
      <c r="Z69" s="9" t="s">
        <v>80</v>
      </c>
      <c r="AA69" s="9">
        <f>VLOOKUP(Y66,$Y$54:$AA$56, 3, FALSE)</f>
        <v>1</v>
      </c>
    </row>
    <row r="70" spans="17:29" x14ac:dyDescent="0.25">
      <c r="Q70" s="11" t="s">
        <v>67</v>
      </c>
      <c r="R70" s="9" t="s">
        <v>83</v>
      </c>
      <c r="S70" s="9" t="str">
        <f>IF($R70="DM 1, Lazada (A3)", "✓", "")</f>
        <v/>
      </c>
      <c r="T70" s="9" t="str">
        <f>IF($R70="DM 2, Shopee (A1)", "✓", "")</f>
        <v/>
      </c>
      <c r="U70" s="9" t="str">
        <f>IF($R70="DM 3, Tokopedia (A2)", "✓", "")</f>
        <v>✓</v>
      </c>
      <c r="V70" s="9" t="str">
        <f>IF(R70="DM 1, Lazada (A3)", "Lazada (A3)", IF(R70="DM 2, Shopee (A1)", "Shopee (A1)", IF(R70="DM 3, Tokopedia (A2)", "Tokopedia (A2)", "")))</f>
        <v>Tokopedia (A2)</v>
      </c>
      <c r="W70" s="9"/>
    </row>
    <row r="71" spans="17:29" x14ac:dyDescent="0.25">
      <c r="Q71" s="11" t="s">
        <v>68</v>
      </c>
      <c r="R71" s="9" t="s">
        <v>81</v>
      </c>
      <c r="S71" s="9" t="str">
        <f>IF($R71="DM 1, Lazada (A3)", "✓", "")</f>
        <v>✓</v>
      </c>
      <c r="T71" s="9" t="str">
        <f>IF($R71="DM 2, Shopee (A1)", "✓", "")</f>
        <v/>
      </c>
      <c r="U71" s="9" t="str">
        <f>IF($R71="DM 3, Tokopedia (A2)", "✓", "")</f>
        <v/>
      </c>
      <c r="V71" s="9" t="str">
        <f>IF(R71="DM 1, Lazada (A3)", "Lazada (A3)", IF(R71="DM 2, Shopee (A1)", "Shopee (A1)", IF(R71="DM 3, Tokopedia (A2)", "Tokopedia (A2)", "")))</f>
        <v>Lazada (A3)</v>
      </c>
      <c r="W71" s="9"/>
    </row>
    <row r="72" spans="17:29" x14ac:dyDescent="0.25">
      <c r="Q72" s="11" t="s">
        <v>69</v>
      </c>
      <c r="R72" s="9" t="s">
        <v>82</v>
      </c>
      <c r="S72" s="9" t="str">
        <f>IF($R72="DM 1, Lazada (A3)", "✓", "")</f>
        <v/>
      </c>
      <c r="T72" s="9" t="str">
        <f>IF($R72="DM 2, Shopee (A1)", "✓", "")</f>
        <v>✓</v>
      </c>
      <c r="U72" s="9" t="str">
        <f>IF($R72="DM 3, Tokopedia (A2)", "✓", "")</f>
        <v/>
      </c>
      <c r="V72" s="9" t="str">
        <f>IF(R72="DM 1, Lazada (A3)", "Lazada (A3)", IF(R72="DM 2, Shopee (A1)", "Shopee (A1)", IF(R72="DM 3, Tokopedia (A2)", "Tokopedia (A2)", "")))</f>
        <v>Shopee (A1)</v>
      </c>
      <c r="W72" s="9"/>
    </row>
    <row r="73" spans="17:29" x14ac:dyDescent="0.25">
      <c r="Q73" s="11" t="s">
        <v>70</v>
      </c>
      <c r="R73" s="9" t="s">
        <v>82</v>
      </c>
      <c r="S73" s="9" t="str">
        <f>IF($R73="DM 1, Lazada (A3)", "✓", "")</f>
        <v/>
      </c>
      <c r="T73" s="9" t="str">
        <f>IF($R73="DM 2, Shopee (A1)", "✓", "")</f>
        <v>✓</v>
      </c>
      <c r="U73" s="9" t="str">
        <f>IF($R73="DM 3, Tokopedia (A2)", "✓", "")</f>
        <v/>
      </c>
      <c r="V73" s="9" t="str">
        <f>IF(R73="DM 1, Lazada (A3)", "Lazada (A3)", IF(R73="DM 2, Shopee (A1)", "Shopee (A1)", IF(R73="DM 3, Tokopedia (A2)", "Tokopedia (A2)", "")))</f>
        <v>Shopee (A1)</v>
      </c>
      <c r="W73" s="9"/>
    </row>
    <row r="74" spans="17:29" x14ac:dyDescent="0.25">
      <c r="Q74" s="11" t="s">
        <v>71</v>
      </c>
      <c r="R74" s="9" t="s">
        <v>82</v>
      </c>
      <c r="S74" s="9" t="str">
        <f>IF($R74="DM 1, Lazada (A3)", "✓", "")</f>
        <v/>
      </c>
      <c r="T74" s="9" t="str">
        <f>IF($R74="DM 2, Shopee (A1)", "✓", "")</f>
        <v>✓</v>
      </c>
      <c r="U74" s="9" t="str">
        <f>IF($R74="DM 3, Tokopedia (A2)", "✓", "")</f>
        <v/>
      </c>
      <c r="V74" s="9" t="str">
        <f>IF(R74="DM 1, Lazada (A3)", "Lazada (A3)", IF(R74="DM 2, Shopee (A1)", "Shopee (A1)", IF(R74="DM 3, Tokopedia (A2)", "Tokopedia (A2)", "")))</f>
        <v>Shopee (A1)</v>
      </c>
      <c r="W74" s="9"/>
    </row>
  </sheetData>
  <phoneticPr fontId="7" type="noConversion"/>
  <dataValidations count="2">
    <dataValidation type="list" allowBlank="1" showInputMessage="1" showErrorMessage="1" sqref="R55:R74" xr:uid="{04BE4FBF-61D7-4AD3-8B60-F62F3142DDE5}">
      <formula1>$Y$54:$Y$56</formula1>
    </dataValidation>
    <dataValidation type="list" allowBlank="1" showInputMessage="1" showErrorMessage="1" sqref="Y61" xr:uid="{E75D0EA0-65EA-4989-AFBE-D9B5AD4B92B9}">
      <formula1>$R$13:$R$16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B195-EBA5-446A-9960-D5AA89929AAD}">
  <dimension ref="B1:AM32"/>
  <sheetViews>
    <sheetView topLeftCell="A7" workbookViewId="0">
      <selection activeCell="E17" sqref="E17:E20"/>
    </sheetView>
  </sheetViews>
  <sheetFormatPr defaultRowHeight="15" x14ac:dyDescent="0.25"/>
  <cols>
    <col min="2" max="2" width="18" customWidth="1"/>
    <col min="3" max="3" width="12.140625" bestFit="1" customWidth="1"/>
    <col min="4" max="4" width="11.140625" customWidth="1"/>
    <col min="5" max="5" width="10.5703125" customWidth="1"/>
    <col min="6" max="7" width="10.85546875" bestFit="1" customWidth="1"/>
    <col min="8" max="8" width="12.28515625" customWidth="1"/>
    <col min="9" max="9" width="11.7109375" customWidth="1"/>
    <col min="10" max="17" width="10.85546875" bestFit="1" customWidth="1"/>
    <col min="37" max="37" width="40.28515625" bestFit="1" customWidth="1"/>
    <col min="38" max="38" width="10" bestFit="1" customWidth="1"/>
    <col min="39" max="39" width="14" bestFit="1" customWidth="1"/>
  </cols>
  <sheetData>
    <row r="1" spans="2:39" ht="15.75" thickBot="1" x14ac:dyDescent="0.3"/>
    <row r="2" spans="2:39" ht="15.75" thickBot="1" x14ac:dyDescent="0.3">
      <c r="C2" s="1">
        <v>0.45666699999999999</v>
      </c>
      <c r="D2" s="1">
        <v>0.25666699999999998</v>
      </c>
      <c r="E2" s="1">
        <v>0.156667</v>
      </c>
      <c r="F2" s="6">
        <v>0.09</v>
      </c>
      <c r="G2" s="6">
        <v>0.04</v>
      </c>
      <c r="H2" s="1">
        <v>0.45666699999999999</v>
      </c>
      <c r="I2" s="1">
        <v>0.25666699999999998</v>
      </c>
      <c r="J2" s="1">
        <v>0.156667</v>
      </c>
      <c r="K2" s="6">
        <v>0.09</v>
      </c>
      <c r="L2" s="6">
        <v>0.04</v>
      </c>
      <c r="M2" s="1">
        <v>0.45666699999999999</v>
      </c>
      <c r="N2" s="1">
        <v>0.25666699999999998</v>
      </c>
      <c r="O2" s="1">
        <v>0.156667</v>
      </c>
      <c r="P2" s="6">
        <v>0.09</v>
      </c>
      <c r="Q2" s="6">
        <v>0.04</v>
      </c>
      <c r="AA2" t="s">
        <v>42</v>
      </c>
    </row>
    <row r="3" spans="2:39" ht="30.75" thickBot="1" x14ac:dyDescent="0.3"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T3" s="5" t="s">
        <v>36</v>
      </c>
      <c r="U3" s="5" t="s">
        <v>37</v>
      </c>
      <c r="V3" s="5" t="s">
        <v>38</v>
      </c>
      <c r="W3" s="5" t="s">
        <v>39</v>
      </c>
      <c r="X3" s="5" t="s">
        <v>40</v>
      </c>
      <c r="Y3" s="5" t="s">
        <v>36</v>
      </c>
      <c r="Z3" s="5" t="s">
        <v>37</v>
      </c>
      <c r="AA3" s="5" t="s">
        <v>38</v>
      </c>
      <c r="AB3" s="5" t="s">
        <v>39</v>
      </c>
      <c r="AC3" s="5" t="s">
        <v>40</v>
      </c>
      <c r="AD3" s="5" t="s">
        <v>36</v>
      </c>
      <c r="AE3" s="5" t="s">
        <v>37</v>
      </c>
      <c r="AF3" s="5" t="s">
        <v>38</v>
      </c>
      <c r="AG3" s="5" t="s">
        <v>39</v>
      </c>
      <c r="AH3" s="5" t="s">
        <v>40</v>
      </c>
      <c r="AK3" s="1"/>
      <c r="AL3" s="1" t="s">
        <v>1</v>
      </c>
      <c r="AM3" s="1" t="s">
        <v>2</v>
      </c>
    </row>
    <row r="4" spans="2:39" ht="15.75" thickBot="1" x14ac:dyDescent="0.3">
      <c r="B4" s="1" t="s">
        <v>24</v>
      </c>
      <c r="C4" s="2">
        <v>4</v>
      </c>
      <c r="D4" s="2">
        <v>5</v>
      </c>
      <c r="E4" s="2">
        <v>5</v>
      </c>
      <c r="F4" s="2">
        <v>4</v>
      </c>
      <c r="G4" s="2">
        <v>3</v>
      </c>
      <c r="H4" s="2">
        <v>5</v>
      </c>
      <c r="I4" s="2">
        <v>4</v>
      </c>
      <c r="J4" s="2">
        <v>4</v>
      </c>
      <c r="K4" s="2">
        <v>3</v>
      </c>
      <c r="L4" s="2">
        <v>4</v>
      </c>
      <c r="M4" s="2">
        <v>4</v>
      </c>
      <c r="N4" s="2">
        <v>5</v>
      </c>
      <c r="O4" s="2">
        <v>4</v>
      </c>
      <c r="P4" s="2">
        <v>5</v>
      </c>
      <c r="Q4" s="2">
        <v>3</v>
      </c>
      <c r="S4" t="s">
        <v>35</v>
      </c>
      <c r="T4">
        <f>MIN(C$4:C$7, H$4:H$7, M$4:M$7)</f>
        <v>3</v>
      </c>
      <c r="U4">
        <f t="shared" ref="U4:Y4" si="0">MIN(D$4:D$7, I$4:I$7, N$4:N$7)</f>
        <v>3</v>
      </c>
      <c r="V4">
        <f t="shared" si="0"/>
        <v>3</v>
      </c>
      <c r="W4">
        <f t="shared" si="0"/>
        <v>3</v>
      </c>
      <c r="X4">
        <f t="shared" si="0"/>
        <v>3</v>
      </c>
      <c r="Y4">
        <f t="shared" si="0"/>
        <v>3</v>
      </c>
      <c r="Z4">
        <f t="shared" ref="Z4" si="1">MIN(I$4:I$7, N$4:N$7, S$4:S$7)</f>
        <v>3</v>
      </c>
      <c r="AA4">
        <f t="shared" ref="AA4" si="2">MIN(J$4:J$7, O$4:O$7, T$4:T$7)</f>
        <v>3</v>
      </c>
      <c r="AB4">
        <f t="shared" ref="AB4" si="3">MIN(K$4:K$7, P$4:P$7, U$4:U$7)</f>
        <v>3</v>
      </c>
      <c r="AC4">
        <f t="shared" ref="AC4:AD4" si="4">MIN(L$4:L$7, Q$4:Q$7, V$4:V$7)</f>
        <v>3</v>
      </c>
      <c r="AD4">
        <f t="shared" si="4"/>
        <v>3</v>
      </c>
      <c r="AE4">
        <f t="shared" ref="AE4" si="5">MIN(N$4:N$7, S$4:S$7, X$4:X$7)</f>
        <v>3</v>
      </c>
      <c r="AF4">
        <f t="shared" ref="AF4" si="6">MIN(O$4:O$7, T$4:T$7, Y$4:Y$7)</f>
        <v>3</v>
      </c>
      <c r="AG4">
        <f t="shared" ref="AG4" si="7">MIN(P$4:P$7, U$4:U$7, Z$4:Z$7)</f>
        <v>3</v>
      </c>
      <c r="AH4">
        <f t="shared" ref="AH4" si="8">MIN(Q$4:Q$7, V$4:V$7, AA$4:AA$7)</f>
        <v>3</v>
      </c>
      <c r="AK4" s="2" t="s">
        <v>3</v>
      </c>
      <c r="AL4" s="2">
        <v>1</v>
      </c>
      <c r="AM4" s="1">
        <v>0.45666699999999999</v>
      </c>
    </row>
    <row r="5" spans="2:39" ht="15.75" thickBot="1" x14ac:dyDescent="0.3">
      <c r="B5" s="1" t="s">
        <v>25</v>
      </c>
      <c r="C5" s="2">
        <v>5</v>
      </c>
      <c r="D5" s="2">
        <v>4</v>
      </c>
      <c r="E5" s="2">
        <v>4</v>
      </c>
      <c r="F5" s="2">
        <v>3</v>
      </c>
      <c r="G5" s="2">
        <v>4</v>
      </c>
      <c r="H5" s="2">
        <v>4</v>
      </c>
      <c r="I5" s="2">
        <v>5</v>
      </c>
      <c r="J5" s="2">
        <v>3</v>
      </c>
      <c r="K5" s="2">
        <v>4</v>
      </c>
      <c r="L5" s="2">
        <v>5</v>
      </c>
      <c r="M5" s="2">
        <v>5</v>
      </c>
      <c r="N5" s="2">
        <v>4</v>
      </c>
      <c r="O5" s="2">
        <v>5</v>
      </c>
      <c r="P5" s="2">
        <v>3</v>
      </c>
      <c r="Q5" s="2">
        <v>4</v>
      </c>
      <c r="S5" t="s">
        <v>41</v>
      </c>
      <c r="T5">
        <f>MAX(C$4:C$7, H$4:H$7, M$4:M$7)</f>
        <v>5</v>
      </c>
      <c r="U5">
        <f t="shared" ref="U5:AH5" si="9">MAX(D$4:D$7, I$4:I$7, N$4:N$7)</f>
        <v>5</v>
      </c>
      <c r="V5">
        <f t="shared" si="9"/>
        <v>5</v>
      </c>
      <c r="W5">
        <f t="shared" si="9"/>
        <v>5</v>
      </c>
      <c r="X5">
        <f t="shared" si="9"/>
        <v>5</v>
      </c>
      <c r="Y5">
        <f t="shared" si="9"/>
        <v>5</v>
      </c>
      <c r="Z5">
        <f t="shared" si="9"/>
        <v>5</v>
      </c>
      <c r="AA5">
        <f t="shared" si="9"/>
        <v>5</v>
      </c>
      <c r="AB5">
        <f t="shared" si="9"/>
        <v>5</v>
      </c>
      <c r="AC5">
        <f t="shared" si="9"/>
        <v>5</v>
      </c>
      <c r="AD5">
        <f t="shared" si="9"/>
        <v>5</v>
      </c>
      <c r="AE5">
        <f t="shared" si="9"/>
        <v>5</v>
      </c>
      <c r="AF5">
        <f t="shared" si="9"/>
        <v>5</v>
      </c>
      <c r="AG5">
        <f t="shared" si="9"/>
        <v>5</v>
      </c>
      <c r="AH5">
        <f t="shared" si="9"/>
        <v>5</v>
      </c>
      <c r="AK5" s="2" t="s">
        <v>4</v>
      </c>
      <c r="AL5" s="2">
        <v>2</v>
      </c>
      <c r="AM5" s="1">
        <v>0.25666699999999998</v>
      </c>
    </row>
    <row r="6" spans="2:39" ht="15.75" thickBot="1" x14ac:dyDescent="0.3">
      <c r="B6" s="1" t="s">
        <v>26</v>
      </c>
      <c r="C6" s="2">
        <v>4</v>
      </c>
      <c r="D6" s="2">
        <v>4</v>
      </c>
      <c r="E6" s="2">
        <v>3</v>
      </c>
      <c r="F6" s="2">
        <v>5</v>
      </c>
      <c r="G6" s="2">
        <v>3</v>
      </c>
      <c r="H6" s="2">
        <v>3</v>
      </c>
      <c r="I6" s="2">
        <v>3</v>
      </c>
      <c r="J6" s="2">
        <v>4</v>
      </c>
      <c r="K6" s="2">
        <v>5</v>
      </c>
      <c r="L6" s="2">
        <v>4</v>
      </c>
      <c r="M6" s="2">
        <v>4</v>
      </c>
      <c r="N6" s="2">
        <v>4</v>
      </c>
      <c r="O6" s="2">
        <v>3</v>
      </c>
      <c r="P6" s="2">
        <v>4</v>
      </c>
      <c r="Q6" s="2">
        <v>5</v>
      </c>
      <c r="AK6" s="2" t="s">
        <v>5</v>
      </c>
      <c r="AL6" s="2">
        <v>3</v>
      </c>
      <c r="AM6" s="1">
        <v>0.156667</v>
      </c>
    </row>
    <row r="7" spans="2:39" ht="15.75" thickBot="1" x14ac:dyDescent="0.3">
      <c r="B7" s="1" t="s">
        <v>27</v>
      </c>
      <c r="C7" s="2">
        <v>3</v>
      </c>
      <c r="D7" s="2">
        <v>3</v>
      </c>
      <c r="E7" s="2">
        <v>4</v>
      </c>
      <c r="F7" s="2">
        <v>4</v>
      </c>
      <c r="G7" s="2">
        <v>5</v>
      </c>
      <c r="H7" s="2">
        <v>4</v>
      </c>
      <c r="I7" s="2">
        <v>4</v>
      </c>
      <c r="J7" s="2">
        <v>5</v>
      </c>
      <c r="K7" s="2">
        <v>4</v>
      </c>
      <c r="L7" s="2">
        <v>3</v>
      </c>
      <c r="M7" s="2">
        <v>3</v>
      </c>
      <c r="N7" s="2">
        <v>3</v>
      </c>
      <c r="O7" s="2">
        <v>4</v>
      </c>
      <c r="P7" s="2">
        <v>3</v>
      </c>
      <c r="Q7" s="2">
        <v>4</v>
      </c>
      <c r="AK7" s="2" t="s">
        <v>6</v>
      </c>
      <c r="AL7" s="2">
        <v>4</v>
      </c>
      <c r="AM7" s="1">
        <v>0.09</v>
      </c>
    </row>
    <row r="8" spans="2:39" ht="15.75" thickBot="1" x14ac:dyDescent="0.3">
      <c r="AK8" s="2" t="s">
        <v>7</v>
      </c>
      <c r="AL8" s="2">
        <v>5</v>
      </c>
      <c r="AM8" s="1">
        <v>0.04</v>
      </c>
    </row>
    <row r="9" spans="2:39" ht="15.75" thickBot="1" x14ac:dyDescent="0.3"/>
    <row r="10" spans="2:39" ht="15.75" thickBot="1" x14ac:dyDescent="0.3">
      <c r="B10" s="1" t="s">
        <v>24</v>
      </c>
      <c r="C10">
        <f>(C4 - T$4) / (T$5 - T$4)</f>
        <v>0.5</v>
      </c>
      <c r="D10">
        <f t="shared" ref="D10:Q10" si="10">(D4 - U$4) / (U$5 - U$4)</f>
        <v>1</v>
      </c>
      <c r="E10">
        <f t="shared" si="10"/>
        <v>1</v>
      </c>
      <c r="F10">
        <f t="shared" si="10"/>
        <v>0.5</v>
      </c>
      <c r="G10">
        <f>(G4 - X$4) / (X$5 - X$4)</f>
        <v>0</v>
      </c>
      <c r="H10">
        <f>(H4 - Y$4) / (Y$5 - Y$4)</f>
        <v>1</v>
      </c>
      <c r="I10">
        <f t="shared" si="10"/>
        <v>0.5</v>
      </c>
      <c r="J10">
        <f t="shared" si="10"/>
        <v>0.5</v>
      </c>
      <c r="K10">
        <f t="shared" si="10"/>
        <v>0</v>
      </c>
      <c r="L10">
        <f t="shared" si="10"/>
        <v>0.5</v>
      </c>
      <c r="M10">
        <f t="shared" si="10"/>
        <v>0.5</v>
      </c>
      <c r="N10">
        <f t="shared" si="10"/>
        <v>1</v>
      </c>
      <c r="O10">
        <f t="shared" si="10"/>
        <v>0.5</v>
      </c>
      <c r="P10">
        <f t="shared" si="10"/>
        <v>1</v>
      </c>
      <c r="Q10">
        <f t="shared" si="10"/>
        <v>0</v>
      </c>
    </row>
    <row r="11" spans="2:39" ht="15.75" thickBot="1" x14ac:dyDescent="0.3">
      <c r="B11" s="1" t="s">
        <v>25</v>
      </c>
      <c r="C11">
        <f t="shared" ref="C11:C13" si="11">(C5 - T$4) / (T$5 - T$4)</f>
        <v>1</v>
      </c>
      <c r="D11">
        <f t="shared" ref="D11:D13" si="12">(D5 - U$4) / (U$5 - U$4)</f>
        <v>0.5</v>
      </c>
      <c r="E11">
        <f t="shared" ref="E11:E13" si="13">(E5 - V$4) / (V$5 - V$4)</f>
        <v>0.5</v>
      </c>
      <c r="F11">
        <f t="shared" ref="F11:F13" si="14">(F5 - W$4) / (W$5 - W$4)</f>
        <v>0</v>
      </c>
      <c r="G11">
        <f t="shared" ref="G11:G13" si="15">(G5 - X$4) / (X$5 - X$4)</f>
        <v>0.5</v>
      </c>
      <c r="H11">
        <f t="shared" ref="H11:H13" si="16">(H5 - Y$4) / (Y$5 - Y$4)</f>
        <v>0.5</v>
      </c>
      <c r="I11">
        <f t="shared" ref="I11:I13" si="17">(I5 - Z$4) / (Z$5 - Z$4)</f>
        <v>1</v>
      </c>
      <c r="J11">
        <f t="shared" ref="J11:J13" si="18">(J5 - AA$4) / (AA$5 - AA$4)</f>
        <v>0</v>
      </c>
      <c r="K11">
        <f t="shared" ref="K11:K13" si="19">(K5 - AB$4) / (AB$5 - AB$4)</f>
        <v>0.5</v>
      </c>
      <c r="L11">
        <f t="shared" ref="L11:L13" si="20">(L5 - AC$4) / (AC$5 - AC$4)</f>
        <v>1</v>
      </c>
      <c r="M11">
        <f t="shared" ref="M11:M13" si="21">(M5 - AD$4) / (AD$5 - AD$4)</f>
        <v>1</v>
      </c>
      <c r="N11">
        <f t="shared" ref="N11:N13" si="22">(N5 - AE$4) / (AE$5 - AE$4)</f>
        <v>0.5</v>
      </c>
      <c r="O11">
        <f t="shared" ref="O11:O13" si="23">(O5 - AF$4) / (AF$5 - AF$4)</f>
        <v>1</v>
      </c>
      <c r="P11">
        <f t="shared" ref="P11:P13" si="24">(P5 - AG$4) / (AG$5 - AG$4)</f>
        <v>0</v>
      </c>
      <c r="Q11">
        <f t="shared" ref="Q11:Q13" si="25">(Q5 - AH$4) / (AH$5 - AH$4)</f>
        <v>0.5</v>
      </c>
    </row>
    <row r="12" spans="2:39" ht="15.75" thickBot="1" x14ac:dyDescent="0.3">
      <c r="B12" s="1" t="s">
        <v>26</v>
      </c>
      <c r="C12">
        <f t="shared" si="11"/>
        <v>0.5</v>
      </c>
      <c r="D12">
        <f t="shared" si="12"/>
        <v>0.5</v>
      </c>
      <c r="E12">
        <f t="shared" si="13"/>
        <v>0</v>
      </c>
      <c r="F12">
        <f t="shared" si="14"/>
        <v>1</v>
      </c>
      <c r="G12">
        <f t="shared" si="15"/>
        <v>0</v>
      </c>
      <c r="H12">
        <f t="shared" si="16"/>
        <v>0</v>
      </c>
      <c r="I12">
        <f t="shared" si="17"/>
        <v>0</v>
      </c>
      <c r="J12">
        <f t="shared" si="18"/>
        <v>0.5</v>
      </c>
      <c r="K12">
        <f t="shared" si="19"/>
        <v>1</v>
      </c>
      <c r="L12">
        <f t="shared" si="20"/>
        <v>0.5</v>
      </c>
      <c r="M12">
        <f t="shared" si="21"/>
        <v>0.5</v>
      </c>
      <c r="N12">
        <f t="shared" si="22"/>
        <v>0.5</v>
      </c>
      <c r="O12">
        <f t="shared" si="23"/>
        <v>0</v>
      </c>
      <c r="P12">
        <f t="shared" si="24"/>
        <v>0.5</v>
      </c>
      <c r="Q12">
        <f t="shared" si="25"/>
        <v>1</v>
      </c>
    </row>
    <row r="13" spans="2:39" ht="15.75" thickBot="1" x14ac:dyDescent="0.3">
      <c r="B13" s="1" t="s">
        <v>27</v>
      </c>
      <c r="C13">
        <f t="shared" si="11"/>
        <v>0</v>
      </c>
      <c r="D13">
        <f t="shared" si="12"/>
        <v>0</v>
      </c>
      <c r="E13">
        <f t="shared" si="13"/>
        <v>0.5</v>
      </c>
      <c r="F13">
        <f t="shared" si="14"/>
        <v>0.5</v>
      </c>
      <c r="G13">
        <f t="shared" si="15"/>
        <v>1</v>
      </c>
      <c r="H13">
        <f t="shared" si="16"/>
        <v>0.5</v>
      </c>
      <c r="I13">
        <f t="shared" si="17"/>
        <v>0.5</v>
      </c>
      <c r="J13">
        <f t="shared" si="18"/>
        <v>1</v>
      </c>
      <c r="K13">
        <f t="shared" si="19"/>
        <v>0.5</v>
      </c>
      <c r="L13">
        <f t="shared" si="20"/>
        <v>0</v>
      </c>
      <c r="M13">
        <f t="shared" si="21"/>
        <v>0</v>
      </c>
      <c r="N13">
        <f t="shared" si="22"/>
        <v>0</v>
      </c>
      <c r="O13">
        <f t="shared" si="23"/>
        <v>0.5</v>
      </c>
      <c r="P13">
        <f t="shared" si="24"/>
        <v>0</v>
      </c>
      <c r="Q13">
        <f t="shared" si="25"/>
        <v>0.5</v>
      </c>
    </row>
    <row r="15" spans="2:39" x14ac:dyDescent="0.25">
      <c r="C15" t="s">
        <v>43</v>
      </c>
    </row>
    <row r="16" spans="2:39" ht="15.75" thickBot="1" x14ac:dyDescent="0.3">
      <c r="C16" s="4" t="s">
        <v>31</v>
      </c>
    </row>
    <row r="17" spans="2:5" ht="15.75" thickBot="1" x14ac:dyDescent="0.3">
      <c r="B17" s="1" t="s">
        <v>24</v>
      </c>
      <c r="C17">
        <f>SUMPRODUCT(C10:G10, $C$2:$G$2)</f>
        <v>0.68666749999999999</v>
      </c>
      <c r="E17">
        <f>RANK(C17, $C$17:$C$20, 0)</f>
        <v>1</v>
      </c>
    </row>
    <row r="18" spans="2:5" ht="15.75" thickBot="1" x14ac:dyDescent="0.3">
      <c r="B18" s="1" t="s">
        <v>25</v>
      </c>
      <c r="C18">
        <f>SUMPRODUCT(C11:G11, $C$2:$G$2)</f>
        <v>0.68333400000000011</v>
      </c>
      <c r="E18">
        <f t="shared" ref="E18:E20" si="26">RANK(C18, $C$17:$C$20, 0)</f>
        <v>2</v>
      </c>
    </row>
    <row r="19" spans="2:5" ht="15.75" thickBot="1" x14ac:dyDescent="0.3">
      <c r="B19" s="1" t="s">
        <v>26</v>
      </c>
      <c r="C19">
        <f>SUMPRODUCT(C12:G12, $C$2:$G$2)</f>
        <v>0.44666699999999993</v>
      </c>
      <c r="E19">
        <f t="shared" si="26"/>
        <v>3</v>
      </c>
    </row>
    <row r="20" spans="2:5" ht="15.75" thickBot="1" x14ac:dyDescent="0.3">
      <c r="B20" s="1" t="s">
        <v>27</v>
      </c>
      <c r="C20">
        <f t="shared" ref="C20" si="27">SUMPRODUCT(C13:G13, $C$2:$G$2)</f>
        <v>0.16333349999999999</v>
      </c>
      <c r="E20">
        <f t="shared" si="26"/>
        <v>4</v>
      </c>
    </row>
    <row r="22" spans="2:5" ht="15.75" thickBot="1" x14ac:dyDescent="0.3">
      <c r="C22" s="4" t="s">
        <v>32</v>
      </c>
    </row>
    <row r="23" spans="2:5" ht="15.75" thickBot="1" x14ac:dyDescent="0.3">
      <c r="B23" s="1" t="s">
        <v>24</v>
      </c>
      <c r="C23">
        <f>SUMPRODUCT(H10:L10, $C$2:$G$2)</f>
        <v>0.68333400000000011</v>
      </c>
    </row>
    <row r="24" spans="2:5" ht="15.75" thickBot="1" x14ac:dyDescent="0.3">
      <c r="B24" s="1" t="s">
        <v>25</v>
      </c>
      <c r="C24">
        <f t="shared" ref="C24:C26" si="28">SUMPRODUCT(H11:L11, $C$2:$G$2)</f>
        <v>0.57000050000000002</v>
      </c>
    </row>
    <row r="25" spans="2:5" ht="15.75" thickBot="1" x14ac:dyDescent="0.3">
      <c r="B25" s="1" t="s">
        <v>26</v>
      </c>
      <c r="C25">
        <f t="shared" si="28"/>
        <v>0.18833349999999999</v>
      </c>
    </row>
    <row r="26" spans="2:5" ht="15.75" thickBot="1" x14ac:dyDescent="0.3">
      <c r="B26" s="1" t="s">
        <v>27</v>
      </c>
      <c r="C26">
        <f t="shared" si="28"/>
        <v>0.558334</v>
      </c>
    </row>
    <row r="28" spans="2:5" ht="15.75" thickBot="1" x14ac:dyDescent="0.3">
      <c r="C28" s="4" t="s">
        <v>33</v>
      </c>
    </row>
    <row r="29" spans="2:5" ht="15.75" thickBot="1" x14ac:dyDescent="0.3">
      <c r="B29" s="1" t="s">
        <v>24</v>
      </c>
      <c r="C29">
        <f>SUMPRODUCT(M10:Q10, $C$2:$G$2)</f>
        <v>0.65333399999999997</v>
      </c>
    </row>
    <row r="30" spans="2:5" ht="15.75" thickBot="1" x14ac:dyDescent="0.3">
      <c r="B30" s="1" t="s">
        <v>25</v>
      </c>
      <c r="C30">
        <f t="shared" ref="C30:C32" si="29">SUMPRODUCT(M11:Q11, $C$2:$G$2)</f>
        <v>0.76166750000000005</v>
      </c>
    </row>
    <row r="31" spans="2:5" ht="15.75" thickBot="1" x14ac:dyDescent="0.3">
      <c r="B31" s="1" t="s">
        <v>26</v>
      </c>
      <c r="C31">
        <f t="shared" si="29"/>
        <v>0.44166699999999992</v>
      </c>
    </row>
    <row r="32" spans="2:5" ht="15.75" thickBot="1" x14ac:dyDescent="0.3">
      <c r="B32" s="1" t="s">
        <v>27</v>
      </c>
      <c r="C32">
        <f t="shared" si="29"/>
        <v>9.8333500000000004E-2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RIANSYAH</dc:creator>
  <cp:lastModifiedBy>NANDA RIANSYAH</cp:lastModifiedBy>
  <dcterms:created xsi:type="dcterms:W3CDTF">2025-12-16T06:36:09Z</dcterms:created>
  <dcterms:modified xsi:type="dcterms:W3CDTF">2025-12-16T15:12:02Z</dcterms:modified>
</cp:coreProperties>
</file>